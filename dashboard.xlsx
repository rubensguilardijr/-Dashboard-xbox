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ubens.guilardi\Downloads\"/>
    </mc:Choice>
  </mc:AlternateContent>
  <bookViews>
    <workbookView xWindow="0" yWindow="0" windowWidth="28800" windowHeight="12315" tabRatio="0" firstSheet="1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52511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<sst xmlns="http://schemas.openxmlformats.org/spreadsheetml/2006/main" count="2048" uniqueCount="339">
  <si>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</si>
  <si>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</si>
  <si>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</si>
  <si>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</si>
  <si>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</si>
  <si>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</si>
  <si>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</si>
  <si>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</si>
  <si>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</si>
  <si>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</si>
  <si>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</si>
  <si>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</si>
  <si>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</si>
  <si>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</si>
  <si>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</si>
  <si>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</si>
  <si>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</si>
  <si>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</si>
  <si>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</si>
  <si>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</si>
  <si>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</si>
  <si>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</si>
  <si>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</si>
  <si>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</si>
  <si>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</si>
  <si>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</si>
  <si>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</si>
  <si>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</si>
  <si>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</si>
  <si>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</si>
  <si>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</si>
  <si>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</si>
  <si>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</si>
  <si>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</si>
  <si>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</si>
  <si>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</si>
  <si>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</si>
  <si>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</si>
  <si>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</si>
  <si>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</si>
  <si>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</si>
  <si>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</si>
  <si>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</si>
  <si>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</si>
  <si>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</si>
  <si>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</si>
  <si>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</si>
  <si>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</si>
  <si>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</si>
  <si>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</si>
  <si>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</si>
  <si>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</si>
  <si>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</si>
  <si>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</si>
  <si>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</si>
  <si>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</si>
  <si>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</si>
  <si>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</si>
  <si>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</si>
  <si>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</si>
  <si>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</si>
  <si>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</si>
  <si>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</si>
  <si>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</si>
  <si>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</si>
  <si>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</si>
  <si>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</si>
  <si>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</si>
  <si>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</si>
  <si>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</si>
  <si>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</si>
  <si>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</si>
  <si>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</si>
  <si>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</si>
  <si>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</si>
  <si>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</si>
  <si>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</si>
  <si>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</si>
  <si>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</si>
  <si>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</si>
  <si>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</si>
  <si>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</si>
  <si>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</si>
  <si>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</si>
  <si>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</si>
  <si>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</si>
  <si>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</si>
  <si>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</si>
  <si>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</si>
  <si>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</si>
  <si>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</si>
  <si>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</si>
  <si>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</si>
  <si>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</si>
  <si>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</si>
  <si>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</si>
  <si>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</si>
  <si>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</si>
  <si>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</si>
  <si>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</si>
  <si>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</si>
  <si>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</si>
  <si>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</si>
  <si>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</si>
  <si>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</si>
  <si>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</si>
  <si>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</si>
  <si>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</si>
  <si>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</si>
  <si>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</si>
  <si>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</si>
  <si>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</si>
  <si>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</si>
  <si>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</si>
  <si>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</si>
  <si>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</si>
  <si>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</si>
  <si>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</si>
  <si>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</si>
  <si>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</si>
  <si>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</si>
  <si>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</si>
  <si>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</si>
  <si>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</si>
  <si>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</si>
  <si>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</si>
  <si>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</si>
  <si>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</si>
  <si>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</si>
  <si>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</si>
  <si>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</si>
  <si>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</si>
  <si>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</si>
  <si>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</si>
  <si>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</si>
  <si>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</si>
  <si>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</si>
  <si>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</si>
  <si>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</si>
  <si>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</si>
  <si>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</si>
  <si>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</si>
  <si>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</si>
  <si>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</si>
  <si>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</si>
  <si>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</si>
  <si>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</si>
  <si>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</si>
  <si>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</si>
  <si>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</si>
  <si>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</si>
  <si>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</si>
  <si>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</si>
  <si>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</si>
  <si>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</si>
  <si>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</si>
  <si>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</si>
  <si>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</si>
  <si>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</si>
  <si>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</si>
  <si>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</si>
  <si>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</si>
  <si>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</si>
  <si>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</si>
  <si>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</si>
  <si>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</si>
  <si>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</si>
  <si>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</si>
  <si>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</si>
  <si>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</si>
  <si>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</si>
  <si>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</si>
  <si>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</si>
  <si>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</si>
  <si>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</si>
  <si>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</si>
  <si>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</si>
  <si>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</si>
  <si>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</si>
  <si>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</si>
  <si>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</si>
  <si>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</si>
  <si>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</si>
  <si>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</si>
  <si>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</si>
  <si>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</si>
  <si>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</si>
  <si>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</si>
  <si>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</si>
  <si>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</si>
  <si>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</si>
  <si>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</si>
  <si>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</si>
  <si>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</si>
  <si>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</si>
  <si>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</si>
  <si>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</si>
  <si>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</si>
  <si>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</si>
  <si>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</si>
  <si>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</si>
  <si>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</si>
  <si>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</si>
  <si>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</si>
  <si>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</si>
  <si>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</si>
  <si>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</si>
  <si>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</si>
  <si>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</si>
  <si>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</si>
  <si>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</si>
  <si>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</si>
  <si>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</si>
  <si>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</si>
  <si>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</si>
  <si>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</si>
  <si>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</si>
  <si>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</si>
  <si>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</si>
  <si>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</si>
  <si>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</si>
  <si>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</si>
  <si>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</si>
  <si>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</si>
  <si>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</si>
  <si>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</si>
  <si>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</si>
  <si>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</si>
  <si>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</si>
  <si>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</si>
  <si>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</si>
  <si>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</si>
  <si>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</si>
  <si>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</si>
  <si>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</si>
  <si>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</si>
  <si>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</si>
  <si>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</si>
  <si>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</si>
  <si>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</si>
  <si>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</si>
  <si>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</si>
  <si>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</si>
  <si>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</si>
  <si>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</si>
  <si>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</si>
  <si>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</si>
  <si>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</si>
  <si>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</si>
  <si>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</si>
  <si>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</si>
  <si>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</si>
  <si>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</si>
  <si>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</si>
  <si>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</si>
  <si>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</si>
  <si>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</si>
  <si>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</si>
  <si>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</si>
  <si>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</si>
  <si>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</si>
  <si>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</si>
  <si>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</si>
  <si>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</si>
  <si>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</si>
  <si>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</si>
  <si>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</si>
  <si>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</si>
  <si>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</si>
  <si>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</si>
  <si>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</si>
  <si>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</si>
  <si>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</si>
  <si>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</si>
  <si>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</si>
  <si>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</si>
  <si>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</si>
  <si>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</si>
  <si>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</si>
  <si>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</si>
  <si>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</si>
  <si>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</si>
  <si>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</si>
  <si>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</si>
  <si>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</si>
  <si>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</si>
  <si>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</si>
  <si>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</si>
  <si>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</si>
  <si>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</si>
  <si>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</si>
  <si>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</si>
  <si>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</si>
  <si>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</si>
  <si>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</si>
  <si>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</si>
  <si>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</si>
  <si>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</si>
  <si>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</si>
  <si>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</si>
  <si>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</si>
  <si>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</si>
  <si>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</si>
  <si>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</si>
  <si>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</si>
  <si>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</si>
  <si>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</si>
  <si>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</si>
  <si>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</si>
  <si>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</si>
  <si>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</si>
  <si>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</si>
  <si>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</si>
  <si>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</si>
  <si>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</si>
  <si>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</si>
  <si>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</si>
  <si>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</si>
  <si>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</si>
  <si>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</si>
  <si>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</si>
  <si>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</si>
  <si>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</si>
  <si>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</si>
  <si>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Pergunta Negócio 5 - Total de Vendas de por Tier de assinatura:</t>
  </si>
  <si>
    <t>Pergunta Negócio 6 - Assinaturas iniciadas por mês:</t>
  </si>
  <si>
    <t>(Tudo)</t>
  </si>
  <si>
    <t>Contagem de Auto Renewal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</si>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</sst>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44" fontId="0" fillId="7" borderId="0" xfId="0" applyNumberFormat="1" applyFill="1"/>
    <xf numFmtId="14" fontId="0" fillId="0" borderId="0" xfId="0" applyNumberFormat="1" applyAlignment="1">
      <alignment horizontal="left"/>
    </xf>
    <xf numFmtId="0" fontId="4" fillId="8" borderId="0" xfId="3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497303840"/>
        <c:axId val="-1497312000"/>
      </c:barChart>
      <c:catAx>
        <c:axId val="-149730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497312000"/>
        <c:crosses val="autoZero"/>
        <c:auto val="1"/>
        <c:lblAlgn val="ctr"/>
        <c:lblOffset val="100"/>
        <c:noMultiLvlLbl val="0"/>
      </c:catAx>
      <c:valAx>
        <c:axId val="-149731200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-149730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dinâmica1</c:name>
    <c:fmtId val="1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C̳álculos!$B$44:$B$47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C̳álculos!$C$44:$C$47</c:f>
              <c:numCache>
                <c:formatCode>General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1497314176"/>
        <c:axId val="-1497316896"/>
      </c:barChart>
      <c:catAx>
        <c:axId val="-149731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497316896"/>
        <c:crosses val="autoZero"/>
        <c:auto val="1"/>
        <c:lblAlgn val="ctr"/>
        <c:lblOffset val="100"/>
        <c:noMultiLvlLbl val="0"/>
      </c:catAx>
      <c:valAx>
        <c:axId val="-14973168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49731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dinâmica2</c:name>
    <c:fmtId val="1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C̳álculos!$C$52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C̳álculos!$B$53:$B$64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C̳álculos!$C$53:$C$64</c:f>
              <c:numCache>
                <c:formatCode>General</c:formatCode>
                <c:ptCount val="11"/>
                <c:pt idx="0">
                  <c:v>1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7.png"/><Relationship Id="rId7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8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=""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=""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=""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=""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=""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297</xdr:row>
      <xdr:rowOff>126999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297</xdr:row>
      <xdr:rowOff>126999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=""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14287</xdr:colOff>
      <xdr:row>4</xdr:row>
      <xdr:rowOff>90488</xdr:rowOff>
    </xdr:from>
    <xdr:to>
      <xdr:col>11</xdr:col>
      <xdr:colOff>180975</xdr:colOff>
      <xdr:row>14</xdr:row>
      <xdr:rowOff>107157</xdr:rowOff>
    </xdr:to>
    <xdr:grpSp>
      <xdr:nvGrpSpPr>
        <xdr:cNvPr id="19" name="Agrupar 18">
          <a:extLst>
            <a:ext uri="{FF2B5EF4-FFF2-40B4-BE49-F238E27FC236}">
              <a16:creationId xmlns=""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76487" y="976313"/>
          <a:ext cx="6338888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=""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=""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="" xmlns:a16="http://schemas.microsoft.com/office/drawing/2014/main" id="{AB7C9170-0AF4-4EE1-A19A-9EDFF2BFE1CF}"/>
              </a:ext>
            </a:extLst>
          </xdr:cNvPr>
          <xdr:cNvPicPr preferRelativeResize="0"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=""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438151</xdr:colOff>
      <xdr:row>4</xdr:row>
      <xdr:rowOff>90488</xdr:rowOff>
    </xdr:from>
    <xdr:to>
      <xdr:col>19</xdr:col>
      <xdr:colOff>119063</xdr:colOff>
      <xdr:row>14</xdr:row>
      <xdr:rowOff>30957</xdr:rowOff>
    </xdr:to>
    <xdr:grpSp>
      <xdr:nvGrpSpPr>
        <xdr:cNvPr id="28" name="Agrupar 27">
          <a:extLst>
            <a:ext uri="{FF2B5EF4-FFF2-40B4-BE49-F238E27FC236}">
              <a16:creationId xmlns=""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972551" y="976313"/>
          <a:ext cx="7396162" cy="152161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=""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=""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=""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=""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=""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=""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=""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2381</xdr:colOff>
      <xdr:row>14</xdr:row>
      <xdr:rowOff>83344</xdr:rowOff>
    </xdr:from>
    <xdr:to>
      <xdr:col>19</xdr:col>
      <xdr:colOff>145256</xdr:colOff>
      <xdr:row>31</xdr:row>
      <xdr:rowOff>142875</xdr:rowOff>
    </xdr:to>
    <xdr:grpSp>
      <xdr:nvGrpSpPr>
        <xdr:cNvPr id="30" name="Agrupar 29">
          <a:extLst>
            <a:ext uri="{FF2B5EF4-FFF2-40B4-BE49-F238E27FC236}">
              <a16:creationId xmlns=""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64581" y="2550319"/>
          <a:ext cx="14030325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=""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=""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=""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=""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=""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=""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 Liana</a:t>
          </a:r>
        </a:p>
      </xdr:txBody>
    </xdr:sp>
    <xdr:clientData/>
  </xdr:twoCellAnchor>
  <xdr:twoCellAnchor editAs="absolute">
    <xdr:from>
      <xdr:col>1</xdr:col>
      <xdr:colOff>223955</xdr:colOff>
      <xdr:row>2</xdr:row>
      <xdr:rowOff>228280</xdr:rowOff>
    </xdr:from>
    <xdr:to>
      <xdr:col>11</xdr:col>
      <xdr:colOff>495299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="" xmlns:a16="http://schemas.microsoft.com/office/drawing/2014/main" id="{FA5C664E-2699-4DBD-8F76-94B27D37C6C0}"/>
            </a:ext>
          </a:extLst>
        </xdr:cNvPr>
        <xdr:cNvSpPr/>
      </xdr:nvSpPr>
      <xdr:spPr>
        <a:xfrm>
          <a:off x="2309930" y="761680"/>
          <a:ext cx="671976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09/04/2026</a:t>
          </a:r>
        </a:p>
      </xdr:txBody>
    </xdr:sp>
    <xdr:clientData/>
  </xdr:twoCellAnchor>
  <xdr:twoCellAnchor>
    <xdr:from>
      <xdr:col>2</xdr:col>
      <xdr:colOff>19050</xdr:colOff>
      <xdr:row>32</xdr:row>
      <xdr:rowOff>26194</xdr:rowOff>
    </xdr:from>
    <xdr:to>
      <xdr:col>10</xdr:col>
      <xdr:colOff>447674</xdr:colOff>
      <xdr:row>49</xdr:row>
      <xdr:rowOff>47626</xdr:rowOff>
    </xdr:to>
    <xdr:grpSp>
      <xdr:nvGrpSpPr>
        <xdr:cNvPr id="9" name="Grupo 8"/>
        <xdr:cNvGrpSpPr/>
      </xdr:nvGrpSpPr>
      <xdr:grpSpPr>
        <a:xfrm>
          <a:off x="2381250" y="5750719"/>
          <a:ext cx="5915024" cy="3098007"/>
          <a:chOff x="2343150" y="5788819"/>
          <a:chExt cx="5915024" cy="3098007"/>
        </a:xfrm>
      </xdr:grpSpPr>
      <xdr:grpSp>
        <xdr:nvGrpSpPr>
          <xdr:cNvPr id="5" name="Grupo 4"/>
          <xdr:cNvGrpSpPr/>
        </xdr:nvGrpSpPr>
        <xdr:grpSpPr>
          <a:xfrm>
            <a:off x="2343150" y="5848350"/>
            <a:ext cx="5915022" cy="3038476"/>
            <a:chOff x="2257425" y="6248401"/>
            <a:chExt cx="5714996" cy="2800350"/>
          </a:xfrm>
        </xdr:grpSpPr>
        <xdr:sp macro="" textlink="">
          <xdr:nvSpPr>
            <xdr:cNvPr id="2" name="Retângulo de cantos arredondados 1"/>
            <xdr:cNvSpPr/>
          </xdr:nvSpPr>
          <xdr:spPr>
            <a:xfrm>
              <a:off x="2257425" y="6248401"/>
              <a:ext cx="5705475" cy="2800350"/>
            </a:xfrm>
            <a:prstGeom prst="roundRect">
              <a:avLst>
                <a:gd name="adj" fmla="val 851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5" name="Gráfico 34"/>
            <xdr:cNvGraphicFramePr>
              <a:graphicFrameLocks/>
            </xdr:cNvGraphicFramePr>
          </xdr:nvGraphicFramePr>
          <xdr:xfrm>
            <a:off x="2400299" y="6276976"/>
            <a:ext cx="5572122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  <xdr:sp macro="" textlink="">
        <xdr:nvSpPr>
          <xdr:cNvPr id="36" name="Retângulo: Cantos Superiores Arredondados 28">
            <a:extLst>
              <a:ext uri="{FF2B5EF4-FFF2-40B4-BE49-F238E27FC236}">
                <a16:creationId xmlns=""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345531" y="5788819"/>
            <a:ext cx="5912643" cy="43022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PER TIER</a:t>
            </a:r>
          </a:p>
        </xdr:txBody>
      </xdr:sp>
    </xdr:grpSp>
    <xdr:clientData/>
  </xdr:twoCellAnchor>
  <xdr:twoCellAnchor>
    <xdr:from>
      <xdr:col>10</xdr:col>
      <xdr:colOff>542925</xdr:colOff>
      <xdr:row>32</xdr:row>
      <xdr:rowOff>38100</xdr:rowOff>
    </xdr:from>
    <xdr:to>
      <xdr:col>19</xdr:col>
      <xdr:colOff>133350</xdr:colOff>
      <xdr:row>49</xdr:row>
      <xdr:rowOff>47626</xdr:rowOff>
    </xdr:to>
    <xdr:grpSp>
      <xdr:nvGrpSpPr>
        <xdr:cNvPr id="4" name="Grupo 3"/>
        <xdr:cNvGrpSpPr/>
      </xdr:nvGrpSpPr>
      <xdr:grpSpPr>
        <a:xfrm>
          <a:off x="8391525" y="5762625"/>
          <a:ext cx="7991475" cy="3086101"/>
          <a:chOff x="8410575" y="5750719"/>
          <a:chExt cx="5912643" cy="3095626"/>
        </a:xfrm>
      </xdr:grpSpPr>
      <xdr:grpSp>
        <xdr:nvGrpSpPr>
          <xdr:cNvPr id="10" name="Grupo 9"/>
          <xdr:cNvGrpSpPr/>
        </xdr:nvGrpSpPr>
        <xdr:grpSpPr>
          <a:xfrm>
            <a:off x="8410575" y="5807869"/>
            <a:ext cx="5905168" cy="3038476"/>
            <a:chOff x="8410575" y="5807869"/>
            <a:chExt cx="5905168" cy="3038476"/>
          </a:xfrm>
        </xdr:grpSpPr>
        <xdr:sp macro="" textlink="">
          <xdr:nvSpPr>
            <xdr:cNvPr id="38" name="Retângulo de cantos arredondados 37"/>
            <xdr:cNvSpPr/>
          </xdr:nvSpPr>
          <xdr:spPr>
            <a:xfrm>
              <a:off x="8410575" y="5807869"/>
              <a:ext cx="5905168" cy="3038476"/>
            </a:xfrm>
            <a:prstGeom prst="roundRect">
              <a:avLst>
                <a:gd name="adj" fmla="val 851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7" name="Gráfico 36"/>
            <xdr:cNvGraphicFramePr>
              <a:graphicFrameLocks/>
            </xdr:cNvGraphicFramePr>
          </xdr:nvGraphicFramePr>
          <xdr:xfrm>
            <a:off x="8629040" y="6212787"/>
            <a:ext cx="4601186" cy="254068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</xdr:grpSp>
      <xdr:sp macro="" textlink="">
        <xdr:nvSpPr>
          <xdr:cNvPr id="34" name="Retângulo: Cantos Superiores Arredondados 28">
            <a:extLst>
              <a:ext uri="{FF2B5EF4-FFF2-40B4-BE49-F238E27FC236}">
                <a16:creationId xmlns=""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8410575" y="5750719"/>
            <a:ext cx="5912643" cy="43022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STARTED PER MONTH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lipe" refreshedDate="45650.439435069442" createdVersion="8" refreshedVersion="8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x v="0"/>
    <x v="0"/>
    <n v="15"/>
    <x v="0"/>
    <s v="Yes"/>
    <x v="0"/>
    <s v="Yes"/>
    <n v="20"/>
    <n v="5"/>
    <n v="60"/>
  </r>
  <r>
    <n v="3232"/>
    <x v="1"/>
    <x v="1"/>
    <x v="1"/>
    <x v="1"/>
    <n v="5"/>
    <x v="1"/>
    <s v="No"/>
    <x v="1"/>
    <s v="No"/>
    <n v="0"/>
    <n v="0"/>
    <n v="5"/>
  </r>
  <r>
    <n v="3233"/>
    <x v="2"/>
    <x v="2"/>
    <x v="2"/>
    <x v="0"/>
    <n v="10"/>
    <x v="2"/>
    <s v="No"/>
    <x v="1"/>
    <s v="Yes"/>
    <n v="20"/>
    <n v="10"/>
    <n v="20"/>
  </r>
  <r>
    <n v="3234"/>
    <x v="3"/>
    <x v="0"/>
    <x v="3"/>
    <x v="1"/>
    <n v="15"/>
    <x v="0"/>
    <s v="Yes"/>
    <x v="0"/>
    <s v="Yes"/>
    <n v="20"/>
    <n v="3"/>
    <n v="62"/>
  </r>
  <r>
    <n v="3235"/>
    <x v="4"/>
    <x v="1"/>
    <x v="4"/>
    <x v="0"/>
    <n v="5"/>
    <x v="0"/>
    <s v="No"/>
    <x v="1"/>
    <s v="No"/>
    <n v="0"/>
    <n v="1"/>
    <n v="4"/>
  </r>
  <r>
    <n v="3236"/>
    <x v="5"/>
    <x v="2"/>
    <x v="5"/>
    <x v="1"/>
    <n v="10"/>
    <x v="0"/>
    <s v="No"/>
    <x v="1"/>
    <s v="Yes"/>
    <n v="20"/>
    <n v="2"/>
    <n v="28"/>
  </r>
  <r>
    <n v="3237"/>
    <x v="6"/>
    <x v="0"/>
    <x v="6"/>
    <x v="0"/>
    <n v="15"/>
    <x v="2"/>
    <s v="Yes"/>
    <x v="0"/>
    <s v="Yes"/>
    <n v="20"/>
    <n v="10"/>
    <n v="55"/>
  </r>
  <r>
    <n v="3238"/>
    <x v="7"/>
    <x v="1"/>
    <x v="7"/>
    <x v="0"/>
    <n v="5"/>
    <x v="1"/>
    <s v="No"/>
    <x v="1"/>
    <s v="No"/>
    <n v="0"/>
    <n v="0"/>
    <n v="5"/>
  </r>
  <r>
    <n v="3239"/>
    <x v="8"/>
    <x v="0"/>
    <x v="4"/>
    <x v="1"/>
    <n v="15"/>
    <x v="0"/>
    <s v="Yes"/>
    <x v="0"/>
    <s v="Yes"/>
    <n v="20"/>
    <n v="5"/>
    <n v="60"/>
  </r>
  <r>
    <n v="3240"/>
    <x v="9"/>
    <x v="2"/>
    <x v="8"/>
    <x v="0"/>
    <n v="10"/>
    <x v="2"/>
    <s v="No"/>
    <x v="1"/>
    <s v="Yes"/>
    <n v="20"/>
    <n v="15"/>
    <n v="15"/>
  </r>
  <r>
    <n v="3241"/>
    <x v="10"/>
    <x v="1"/>
    <x v="9"/>
    <x v="1"/>
    <n v="5"/>
    <x v="0"/>
    <s v="No"/>
    <x v="1"/>
    <s v="No"/>
    <n v="0"/>
    <n v="1"/>
    <n v="4"/>
  </r>
  <r>
    <n v="3242"/>
    <x v="11"/>
    <x v="0"/>
    <x v="10"/>
    <x v="0"/>
    <n v="15"/>
    <x v="1"/>
    <s v="Yes"/>
    <x v="0"/>
    <s v="Yes"/>
    <n v="20"/>
    <n v="20"/>
    <n v="45"/>
  </r>
  <r>
    <n v="3243"/>
    <x v="12"/>
    <x v="2"/>
    <x v="11"/>
    <x v="1"/>
    <n v="10"/>
    <x v="0"/>
    <s v="No"/>
    <x v="1"/>
    <s v="Yes"/>
    <n v="20"/>
    <n v="10"/>
    <n v="20"/>
  </r>
  <r>
    <n v="3244"/>
    <x v="13"/>
    <x v="1"/>
    <x v="12"/>
    <x v="0"/>
    <n v="5"/>
    <x v="2"/>
    <s v="No"/>
    <x v="1"/>
    <s v="No"/>
    <n v="0"/>
    <n v="0"/>
    <n v="5"/>
  </r>
  <r>
    <n v="3245"/>
    <x v="14"/>
    <x v="0"/>
    <x v="13"/>
    <x v="1"/>
    <n v="15"/>
    <x v="0"/>
    <s v="Yes"/>
    <x v="0"/>
    <s v="Yes"/>
    <n v="20"/>
    <n v="8"/>
    <n v="57"/>
  </r>
  <r>
    <n v="3246"/>
    <x v="15"/>
    <x v="2"/>
    <x v="14"/>
    <x v="0"/>
    <n v="10"/>
    <x v="1"/>
    <s v="No"/>
    <x v="1"/>
    <s v="Yes"/>
    <n v="20"/>
    <n v="12"/>
    <n v="18"/>
  </r>
  <r>
    <n v="3247"/>
    <x v="16"/>
    <x v="1"/>
    <x v="15"/>
    <x v="1"/>
    <n v="5"/>
    <x v="0"/>
    <s v="No"/>
    <x v="1"/>
    <s v="No"/>
    <n v="0"/>
    <n v="2"/>
    <n v="3"/>
  </r>
  <r>
    <n v="3248"/>
    <x v="17"/>
    <x v="0"/>
    <x v="16"/>
    <x v="0"/>
    <n v="15"/>
    <x v="2"/>
    <s v="Yes"/>
    <x v="0"/>
    <s v="Yes"/>
    <n v="20"/>
    <n v="7"/>
    <n v="58"/>
  </r>
  <r>
    <n v="3249"/>
    <x v="18"/>
    <x v="2"/>
    <x v="17"/>
    <x v="1"/>
    <n v="10"/>
    <x v="0"/>
    <s v="No"/>
    <x v="1"/>
    <s v="Yes"/>
    <n v="20"/>
    <n v="5"/>
    <n v="25"/>
  </r>
  <r>
    <n v="3250"/>
    <x v="19"/>
    <x v="1"/>
    <x v="18"/>
    <x v="0"/>
    <n v="5"/>
    <x v="1"/>
    <s v="No"/>
    <x v="1"/>
    <s v="No"/>
    <n v="0"/>
    <n v="0"/>
    <n v="5"/>
  </r>
  <r>
    <n v="3251"/>
    <x v="20"/>
    <x v="0"/>
    <x v="19"/>
    <x v="1"/>
    <n v="15"/>
    <x v="0"/>
    <s v="Yes"/>
    <x v="0"/>
    <s v="Yes"/>
    <n v="20"/>
    <n v="3"/>
    <n v="62"/>
  </r>
  <r>
    <n v="3252"/>
    <x v="21"/>
    <x v="2"/>
    <x v="20"/>
    <x v="0"/>
    <n v="10"/>
    <x v="2"/>
    <s v="No"/>
    <x v="1"/>
    <s v="Yes"/>
    <n v="20"/>
    <n v="15"/>
    <n v="15"/>
  </r>
  <r>
    <n v="3253"/>
    <x v="22"/>
    <x v="1"/>
    <x v="21"/>
    <x v="1"/>
    <n v="5"/>
    <x v="0"/>
    <s v="No"/>
    <x v="1"/>
    <s v="No"/>
    <n v="0"/>
    <n v="1"/>
    <n v="4"/>
  </r>
  <r>
    <n v="3254"/>
    <x v="23"/>
    <x v="0"/>
    <x v="22"/>
    <x v="0"/>
    <n v="15"/>
    <x v="1"/>
    <s v="Yes"/>
    <x v="0"/>
    <s v="Yes"/>
    <n v="20"/>
    <n v="20"/>
    <n v="45"/>
  </r>
  <r>
    <n v="3255"/>
    <x v="24"/>
    <x v="2"/>
    <x v="23"/>
    <x v="1"/>
    <n v="10"/>
    <x v="0"/>
    <s v="No"/>
    <x v="1"/>
    <s v="Yes"/>
    <n v="20"/>
    <n v="10"/>
    <n v="20"/>
  </r>
  <r>
    <n v="3256"/>
    <x v="25"/>
    <x v="1"/>
    <x v="24"/>
    <x v="0"/>
    <n v="5"/>
    <x v="2"/>
    <s v="No"/>
    <x v="1"/>
    <s v="No"/>
    <n v="0"/>
    <n v="0"/>
    <n v="5"/>
  </r>
  <r>
    <n v="3257"/>
    <x v="26"/>
    <x v="0"/>
    <x v="25"/>
    <x v="1"/>
    <n v="15"/>
    <x v="0"/>
    <s v="Yes"/>
    <x v="0"/>
    <s v="Yes"/>
    <n v="20"/>
    <n v="5"/>
    <n v="60"/>
  </r>
  <r>
    <n v="3258"/>
    <x v="27"/>
    <x v="2"/>
    <x v="26"/>
    <x v="0"/>
    <n v="10"/>
    <x v="1"/>
    <s v="No"/>
    <x v="1"/>
    <s v="Yes"/>
    <n v="20"/>
    <n v="15"/>
    <n v="15"/>
  </r>
  <r>
    <n v="3259"/>
    <x v="28"/>
    <x v="1"/>
    <x v="27"/>
    <x v="1"/>
    <n v="5"/>
    <x v="0"/>
    <s v="No"/>
    <x v="1"/>
    <s v="No"/>
    <n v="0"/>
    <n v="1"/>
    <n v="4"/>
  </r>
  <r>
    <n v="3260"/>
    <x v="29"/>
    <x v="0"/>
    <x v="28"/>
    <x v="0"/>
    <n v="15"/>
    <x v="2"/>
    <s v="Yes"/>
    <x v="0"/>
    <s v="Yes"/>
    <n v="20"/>
    <n v="7"/>
    <n v="58"/>
  </r>
  <r>
    <n v="3261"/>
    <x v="30"/>
    <x v="2"/>
    <x v="29"/>
    <x v="1"/>
    <n v="10"/>
    <x v="0"/>
    <s v="No"/>
    <x v="1"/>
    <s v="Yes"/>
    <n v="20"/>
    <n v="10"/>
    <n v="20"/>
  </r>
  <r>
    <n v="3262"/>
    <x v="31"/>
    <x v="1"/>
    <x v="30"/>
    <x v="0"/>
    <n v="5"/>
    <x v="1"/>
    <s v="No"/>
    <x v="1"/>
    <s v="No"/>
    <n v="0"/>
    <n v="0"/>
    <n v="5"/>
  </r>
  <r>
    <n v="3263"/>
    <x v="32"/>
    <x v="0"/>
    <x v="31"/>
    <x v="1"/>
    <n v="15"/>
    <x v="0"/>
    <s v="Yes"/>
    <x v="0"/>
    <s v="Yes"/>
    <n v="20"/>
    <n v="3"/>
    <n v="62"/>
  </r>
  <r>
    <n v="3264"/>
    <x v="33"/>
    <x v="2"/>
    <x v="32"/>
    <x v="0"/>
    <n v="10"/>
    <x v="2"/>
    <s v="No"/>
    <x v="1"/>
    <s v="Yes"/>
    <n v="20"/>
    <n v="15"/>
    <n v="15"/>
  </r>
  <r>
    <n v="3265"/>
    <x v="34"/>
    <x v="1"/>
    <x v="33"/>
    <x v="1"/>
    <n v="5"/>
    <x v="0"/>
    <s v="No"/>
    <x v="1"/>
    <s v="No"/>
    <n v="0"/>
    <n v="1"/>
    <n v="4"/>
  </r>
  <r>
    <n v="3266"/>
    <x v="35"/>
    <x v="1"/>
    <x v="34"/>
    <x v="0"/>
    <n v="5"/>
    <x v="0"/>
    <s v="No"/>
    <x v="1"/>
    <s v="No"/>
    <n v="0"/>
    <n v="0"/>
    <n v="5"/>
  </r>
  <r>
    <n v="3267"/>
    <x v="36"/>
    <x v="0"/>
    <x v="35"/>
    <x v="1"/>
    <n v="15"/>
    <x v="2"/>
    <s v="Yes"/>
    <x v="0"/>
    <s v="Yes"/>
    <n v="20"/>
    <n v="7"/>
    <n v="58"/>
  </r>
  <r>
    <n v="3268"/>
    <x v="37"/>
    <x v="2"/>
    <x v="36"/>
    <x v="0"/>
    <n v="10"/>
    <x v="1"/>
    <s v="No"/>
    <x v="1"/>
    <s v="Yes"/>
    <n v="20"/>
    <n v="10"/>
    <n v="20"/>
  </r>
  <r>
    <n v="3269"/>
    <x v="38"/>
    <x v="1"/>
    <x v="37"/>
    <x v="1"/>
    <n v="5"/>
    <x v="2"/>
    <s v="No"/>
    <x v="1"/>
    <s v="No"/>
    <n v="0"/>
    <n v="1"/>
    <n v="4"/>
  </r>
  <r>
    <n v="3270"/>
    <x v="39"/>
    <x v="0"/>
    <x v="38"/>
    <x v="0"/>
    <n v="15"/>
    <x v="0"/>
    <s v="Yes"/>
    <x v="0"/>
    <s v="Yes"/>
    <n v="20"/>
    <n v="15"/>
    <n v="50"/>
  </r>
  <r>
    <n v="3271"/>
    <x v="40"/>
    <x v="2"/>
    <x v="39"/>
    <x v="1"/>
    <n v="10"/>
    <x v="0"/>
    <s v="No"/>
    <x v="1"/>
    <s v="Yes"/>
    <n v="20"/>
    <n v="5"/>
    <n v="25"/>
  </r>
  <r>
    <n v="3272"/>
    <x v="41"/>
    <x v="1"/>
    <x v="40"/>
    <x v="0"/>
    <n v="5"/>
    <x v="1"/>
    <s v="No"/>
    <x v="1"/>
    <s v="No"/>
    <n v="0"/>
    <n v="0"/>
    <n v="5"/>
  </r>
  <r>
    <n v="3273"/>
    <x v="42"/>
    <x v="0"/>
    <x v="41"/>
    <x v="1"/>
    <n v="15"/>
    <x v="2"/>
    <s v="Yes"/>
    <x v="0"/>
    <s v="Yes"/>
    <n v="20"/>
    <n v="20"/>
    <n v="45"/>
  </r>
  <r>
    <n v="3274"/>
    <x v="43"/>
    <x v="2"/>
    <x v="42"/>
    <x v="0"/>
    <n v="10"/>
    <x v="2"/>
    <s v="No"/>
    <x v="1"/>
    <s v="Yes"/>
    <n v="20"/>
    <n v="12"/>
    <n v="18"/>
  </r>
  <r>
    <n v="3275"/>
    <x v="44"/>
    <x v="1"/>
    <x v="43"/>
    <x v="1"/>
    <n v="5"/>
    <x v="0"/>
    <s v="No"/>
    <x v="1"/>
    <s v="No"/>
    <n v="0"/>
    <n v="2"/>
    <n v="3"/>
  </r>
  <r>
    <n v="3276"/>
    <x v="45"/>
    <x v="0"/>
    <x v="44"/>
    <x v="0"/>
    <n v="15"/>
    <x v="1"/>
    <s v="Yes"/>
    <x v="0"/>
    <s v="Yes"/>
    <n v="20"/>
    <n v="5"/>
    <n v="60"/>
  </r>
  <r>
    <n v="3277"/>
    <x v="46"/>
    <x v="2"/>
    <x v="45"/>
    <x v="1"/>
    <n v="10"/>
    <x v="0"/>
    <s v="No"/>
    <x v="1"/>
    <s v="Yes"/>
    <n v="20"/>
    <n v="10"/>
    <n v="20"/>
  </r>
  <r>
    <n v="3278"/>
    <x v="47"/>
    <x v="1"/>
    <x v="46"/>
    <x v="0"/>
    <n v="5"/>
    <x v="2"/>
    <s v="No"/>
    <x v="1"/>
    <s v="No"/>
    <n v="0"/>
    <n v="0"/>
    <n v="5"/>
  </r>
  <r>
    <n v="3279"/>
    <x v="48"/>
    <x v="0"/>
    <x v="47"/>
    <x v="1"/>
    <n v="15"/>
    <x v="0"/>
    <s v="Yes"/>
    <x v="0"/>
    <s v="Yes"/>
    <n v="20"/>
    <n v="3"/>
    <n v="62"/>
  </r>
  <r>
    <n v="3280"/>
    <x v="49"/>
    <x v="2"/>
    <x v="48"/>
    <x v="0"/>
    <n v="10"/>
    <x v="1"/>
    <s v="No"/>
    <x v="1"/>
    <s v="Yes"/>
    <n v="20"/>
    <n v="15"/>
    <n v="15"/>
  </r>
  <r>
    <n v="3281"/>
    <x v="50"/>
    <x v="1"/>
    <x v="49"/>
    <x v="1"/>
    <n v="5"/>
    <x v="0"/>
    <s v="No"/>
    <x v="1"/>
    <s v="No"/>
    <n v="0"/>
    <n v="1"/>
    <n v="4"/>
  </r>
  <r>
    <n v="3282"/>
    <x v="51"/>
    <x v="0"/>
    <x v="50"/>
    <x v="0"/>
    <n v="15"/>
    <x v="2"/>
    <s v="Yes"/>
    <x v="0"/>
    <s v="Yes"/>
    <n v="20"/>
    <n v="7"/>
    <n v="58"/>
  </r>
  <r>
    <n v="3283"/>
    <x v="52"/>
    <x v="2"/>
    <x v="51"/>
    <x v="1"/>
    <n v="10"/>
    <x v="0"/>
    <s v="No"/>
    <x v="1"/>
    <s v="Yes"/>
    <n v="20"/>
    <n v="10"/>
    <n v="20"/>
  </r>
  <r>
    <n v="3284"/>
    <x v="53"/>
    <x v="1"/>
    <x v="52"/>
    <x v="0"/>
    <n v="5"/>
    <x v="1"/>
    <s v="No"/>
    <x v="1"/>
    <s v="No"/>
    <n v="0"/>
    <n v="0"/>
    <n v="5"/>
  </r>
  <r>
    <n v="3285"/>
    <x v="54"/>
    <x v="0"/>
    <x v="53"/>
    <x v="1"/>
    <n v="15"/>
    <x v="0"/>
    <s v="Yes"/>
    <x v="0"/>
    <s v="Yes"/>
    <n v="20"/>
    <n v="20"/>
    <n v="45"/>
  </r>
  <r>
    <n v="3286"/>
    <x v="55"/>
    <x v="2"/>
    <x v="54"/>
    <x v="0"/>
    <n v="10"/>
    <x v="2"/>
    <s v="No"/>
    <x v="1"/>
    <s v="Yes"/>
    <n v="20"/>
    <n v="15"/>
    <n v="15"/>
  </r>
  <r>
    <n v="3287"/>
    <x v="56"/>
    <x v="1"/>
    <x v="55"/>
    <x v="1"/>
    <n v="5"/>
    <x v="0"/>
    <s v="No"/>
    <x v="1"/>
    <s v="No"/>
    <n v="0"/>
    <n v="1"/>
    <n v="4"/>
  </r>
  <r>
    <n v="3288"/>
    <x v="57"/>
    <x v="0"/>
    <x v="56"/>
    <x v="0"/>
    <n v="15"/>
    <x v="1"/>
    <s v="Yes"/>
    <x v="0"/>
    <s v="Yes"/>
    <n v="20"/>
    <n v="3"/>
    <n v="62"/>
  </r>
  <r>
    <n v="3289"/>
    <x v="58"/>
    <x v="2"/>
    <x v="57"/>
    <x v="1"/>
    <n v="10"/>
    <x v="0"/>
    <s v="No"/>
    <x v="1"/>
    <s v="Yes"/>
    <n v="20"/>
    <n v="10"/>
    <n v="20"/>
  </r>
  <r>
    <n v="3290"/>
    <x v="59"/>
    <x v="1"/>
    <x v="58"/>
    <x v="0"/>
    <n v="5"/>
    <x v="2"/>
    <s v="No"/>
    <x v="1"/>
    <s v="No"/>
    <n v="0"/>
    <n v="0"/>
    <n v="5"/>
  </r>
  <r>
    <n v="3291"/>
    <x v="60"/>
    <x v="0"/>
    <x v="59"/>
    <x v="1"/>
    <n v="15"/>
    <x v="0"/>
    <s v="Yes"/>
    <x v="0"/>
    <s v="Yes"/>
    <n v="20"/>
    <n v="5"/>
    <n v="60"/>
  </r>
  <r>
    <n v="3292"/>
    <x v="61"/>
    <x v="2"/>
    <x v="60"/>
    <x v="0"/>
    <n v="10"/>
    <x v="1"/>
    <s v="No"/>
    <x v="1"/>
    <s v="Yes"/>
    <n v="20"/>
    <n v="15"/>
    <n v="15"/>
  </r>
  <r>
    <n v="3293"/>
    <x v="62"/>
    <x v="1"/>
    <x v="61"/>
    <x v="1"/>
    <n v="5"/>
    <x v="0"/>
    <s v="No"/>
    <x v="1"/>
    <s v="No"/>
    <n v="0"/>
    <n v="1"/>
    <n v="4"/>
  </r>
  <r>
    <n v="3294"/>
    <x v="63"/>
    <x v="0"/>
    <x v="62"/>
    <x v="0"/>
    <n v="15"/>
    <x v="2"/>
    <s v="Yes"/>
    <x v="0"/>
    <s v="Yes"/>
    <n v="20"/>
    <n v="20"/>
    <n v="45"/>
  </r>
  <r>
    <n v="3295"/>
    <x v="64"/>
    <x v="2"/>
    <x v="63"/>
    <x v="1"/>
    <n v="10"/>
    <x v="0"/>
    <s v="No"/>
    <x v="1"/>
    <s v="Yes"/>
    <n v="20"/>
    <n v="5"/>
    <n v="25"/>
  </r>
  <r>
    <n v="3296"/>
    <x v="65"/>
    <x v="1"/>
    <x v="64"/>
    <x v="1"/>
    <n v="5"/>
    <x v="0"/>
    <s v="No"/>
    <x v="1"/>
    <s v="No"/>
    <n v="0"/>
    <n v="0"/>
    <n v="5"/>
  </r>
  <r>
    <n v="3297"/>
    <x v="66"/>
    <x v="0"/>
    <x v="65"/>
    <x v="0"/>
    <n v="15"/>
    <x v="2"/>
    <s v="Yes"/>
    <x v="0"/>
    <s v="Yes"/>
    <n v="20"/>
    <n v="7"/>
    <n v="58"/>
  </r>
  <r>
    <n v="3298"/>
    <x v="67"/>
    <x v="2"/>
    <x v="66"/>
    <x v="1"/>
    <n v="10"/>
    <x v="1"/>
    <s v="No"/>
    <x v="1"/>
    <s v="Yes"/>
    <n v="20"/>
    <n v="10"/>
    <n v="20"/>
  </r>
  <r>
    <n v="3299"/>
    <x v="68"/>
    <x v="1"/>
    <x v="67"/>
    <x v="0"/>
    <n v="5"/>
    <x v="2"/>
    <s v="No"/>
    <x v="1"/>
    <s v="No"/>
    <n v="0"/>
    <n v="1"/>
    <n v="4"/>
  </r>
  <r>
    <n v="3300"/>
    <x v="69"/>
    <x v="0"/>
    <x v="68"/>
    <x v="1"/>
    <n v="15"/>
    <x v="0"/>
    <s v="Yes"/>
    <x v="0"/>
    <s v="Yes"/>
    <n v="20"/>
    <n v="15"/>
    <n v="50"/>
  </r>
  <r>
    <n v="3301"/>
    <x v="70"/>
    <x v="2"/>
    <x v="69"/>
    <x v="0"/>
    <n v="10"/>
    <x v="0"/>
    <s v="No"/>
    <x v="1"/>
    <s v="Yes"/>
    <n v="20"/>
    <n v="5"/>
    <n v="25"/>
  </r>
  <r>
    <n v="3302"/>
    <x v="71"/>
    <x v="1"/>
    <x v="70"/>
    <x v="1"/>
    <n v="5"/>
    <x v="1"/>
    <s v="No"/>
    <x v="1"/>
    <s v="No"/>
    <n v="0"/>
    <n v="0"/>
    <n v="5"/>
  </r>
  <r>
    <n v="3303"/>
    <x v="72"/>
    <x v="0"/>
    <x v="71"/>
    <x v="0"/>
    <n v="15"/>
    <x v="2"/>
    <s v="Yes"/>
    <x v="0"/>
    <s v="Yes"/>
    <n v="20"/>
    <n v="20"/>
    <n v="45"/>
  </r>
  <r>
    <n v="3304"/>
    <x v="73"/>
    <x v="2"/>
    <x v="72"/>
    <x v="1"/>
    <n v="10"/>
    <x v="2"/>
    <s v="No"/>
    <x v="1"/>
    <s v="Yes"/>
    <n v="20"/>
    <n v="12"/>
    <n v="18"/>
  </r>
  <r>
    <n v="3305"/>
    <x v="74"/>
    <x v="1"/>
    <x v="73"/>
    <x v="0"/>
    <n v="5"/>
    <x v="0"/>
    <s v="No"/>
    <x v="1"/>
    <s v="No"/>
    <n v="0"/>
    <n v="2"/>
    <n v="3"/>
  </r>
  <r>
    <n v="3306"/>
    <x v="75"/>
    <x v="0"/>
    <x v="74"/>
    <x v="1"/>
    <n v="15"/>
    <x v="1"/>
    <s v="Yes"/>
    <x v="0"/>
    <s v="Yes"/>
    <n v="20"/>
    <n v="5"/>
    <n v="60"/>
  </r>
  <r>
    <n v="3307"/>
    <x v="76"/>
    <x v="2"/>
    <x v="75"/>
    <x v="0"/>
    <n v="10"/>
    <x v="0"/>
    <s v="No"/>
    <x v="1"/>
    <s v="Yes"/>
    <n v="20"/>
    <n v="10"/>
    <n v="20"/>
  </r>
  <r>
    <n v="3308"/>
    <x v="77"/>
    <x v="1"/>
    <x v="76"/>
    <x v="1"/>
    <n v="5"/>
    <x v="2"/>
    <s v="No"/>
    <x v="1"/>
    <s v="No"/>
    <n v="0"/>
    <n v="0"/>
    <n v="5"/>
  </r>
  <r>
    <n v="3309"/>
    <x v="78"/>
    <x v="0"/>
    <x v="77"/>
    <x v="0"/>
    <n v="15"/>
    <x v="0"/>
    <s v="Yes"/>
    <x v="0"/>
    <s v="Yes"/>
    <n v="20"/>
    <n v="3"/>
    <n v="62"/>
  </r>
  <r>
    <n v="3310"/>
    <x v="79"/>
    <x v="2"/>
    <x v="78"/>
    <x v="1"/>
    <n v="10"/>
    <x v="1"/>
    <s v="No"/>
    <x v="1"/>
    <s v="Yes"/>
    <n v="20"/>
    <n v="15"/>
    <n v="15"/>
  </r>
  <r>
    <n v="3311"/>
    <x v="80"/>
    <x v="1"/>
    <x v="79"/>
    <x v="0"/>
    <n v="5"/>
    <x v="0"/>
    <s v="No"/>
    <x v="1"/>
    <s v="No"/>
    <n v="0"/>
    <n v="1"/>
    <n v="4"/>
  </r>
  <r>
    <n v="3312"/>
    <x v="81"/>
    <x v="0"/>
    <x v="80"/>
    <x v="1"/>
    <n v="15"/>
    <x v="2"/>
    <s v="Yes"/>
    <x v="0"/>
    <s v="Yes"/>
    <n v="20"/>
    <n v="7"/>
    <n v="58"/>
  </r>
  <r>
    <n v="3313"/>
    <x v="82"/>
    <x v="2"/>
    <x v="81"/>
    <x v="0"/>
    <n v="10"/>
    <x v="0"/>
    <s v="No"/>
    <x v="1"/>
    <s v="Yes"/>
    <n v="20"/>
    <n v="10"/>
    <n v="20"/>
  </r>
  <r>
    <n v="3314"/>
    <x v="83"/>
    <x v="1"/>
    <x v="82"/>
    <x v="1"/>
    <n v="5"/>
    <x v="1"/>
    <s v="No"/>
    <x v="1"/>
    <s v="No"/>
    <n v="0"/>
    <n v="0"/>
    <n v="5"/>
  </r>
  <r>
    <n v="3315"/>
    <x v="84"/>
    <x v="0"/>
    <x v="83"/>
    <x v="0"/>
    <n v="15"/>
    <x v="0"/>
    <s v="Yes"/>
    <x v="0"/>
    <s v="Yes"/>
    <n v="20"/>
    <n v="20"/>
    <n v="45"/>
  </r>
  <r>
    <n v="3316"/>
    <x v="85"/>
    <x v="2"/>
    <x v="84"/>
    <x v="1"/>
    <n v="10"/>
    <x v="2"/>
    <s v="No"/>
    <x v="1"/>
    <s v="Yes"/>
    <n v="20"/>
    <n v="15"/>
    <n v="15"/>
  </r>
  <r>
    <n v="3317"/>
    <x v="86"/>
    <x v="1"/>
    <x v="85"/>
    <x v="0"/>
    <n v="5"/>
    <x v="0"/>
    <s v="No"/>
    <x v="1"/>
    <s v="No"/>
    <n v="0"/>
    <n v="1"/>
    <n v="4"/>
  </r>
  <r>
    <n v="3318"/>
    <x v="87"/>
    <x v="0"/>
    <x v="86"/>
    <x v="1"/>
    <n v="15"/>
    <x v="1"/>
    <s v="Yes"/>
    <x v="0"/>
    <s v="Yes"/>
    <n v="20"/>
    <n v="3"/>
    <n v="62"/>
  </r>
  <r>
    <n v="3319"/>
    <x v="88"/>
    <x v="2"/>
    <x v="87"/>
    <x v="0"/>
    <n v="10"/>
    <x v="0"/>
    <s v="No"/>
    <x v="1"/>
    <s v="Yes"/>
    <n v="20"/>
    <n v="10"/>
    <n v="20"/>
  </r>
  <r>
    <n v="3320"/>
    <x v="89"/>
    <x v="1"/>
    <x v="88"/>
    <x v="1"/>
    <n v="5"/>
    <x v="2"/>
    <s v="No"/>
    <x v="1"/>
    <s v="No"/>
    <n v="0"/>
    <n v="0"/>
    <n v="5"/>
  </r>
  <r>
    <n v="3321"/>
    <x v="90"/>
    <x v="0"/>
    <x v="89"/>
    <x v="0"/>
    <n v="15"/>
    <x v="0"/>
    <s v="Yes"/>
    <x v="0"/>
    <s v="Yes"/>
    <n v="20"/>
    <n v="5"/>
    <n v="60"/>
  </r>
  <r>
    <n v="3322"/>
    <x v="91"/>
    <x v="2"/>
    <x v="90"/>
    <x v="1"/>
    <n v="10"/>
    <x v="1"/>
    <s v="No"/>
    <x v="1"/>
    <s v="Yes"/>
    <n v="20"/>
    <n v="15"/>
    <n v="15"/>
  </r>
  <r>
    <n v="3323"/>
    <x v="92"/>
    <x v="1"/>
    <x v="91"/>
    <x v="0"/>
    <n v="5"/>
    <x v="0"/>
    <s v="No"/>
    <x v="1"/>
    <s v="No"/>
    <n v="0"/>
    <n v="1"/>
    <n v="4"/>
  </r>
  <r>
    <n v="3324"/>
    <x v="93"/>
    <x v="0"/>
    <x v="92"/>
    <x v="1"/>
    <n v="15"/>
    <x v="2"/>
    <s v="Yes"/>
    <x v="0"/>
    <s v="Yes"/>
    <n v="20"/>
    <n v="20"/>
    <n v="45"/>
  </r>
  <r>
    <n v="3325"/>
    <x v="94"/>
    <x v="2"/>
    <x v="93"/>
    <x v="0"/>
    <n v="10"/>
    <x v="2"/>
    <s v="No"/>
    <x v="1"/>
    <s v="Yes"/>
    <n v="20"/>
    <n v="15"/>
    <n v="15"/>
  </r>
  <r>
    <n v="3326"/>
    <x v="95"/>
    <x v="1"/>
    <x v="94"/>
    <x v="1"/>
    <n v="5"/>
    <x v="1"/>
    <s v="No"/>
    <x v="1"/>
    <s v="No"/>
    <n v="0"/>
    <n v="0"/>
    <n v="5"/>
  </r>
  <r>
    <n v="3327"/>
    <x v="96"/>
    <x v="0"/>
    <x v="95"/>
    <x v="0"/>
    <n v="15"/>
    <x v="0"/>
    <s v="Yes"/>
    <x v="0"/>
    <s v="Yes"/>
    <n v="20"/>
    <n v="7"/>
    <n v="58"/>
  </r>
  <r>
    <n v="3328"/>
    <x v="97"/>
    <x v="2"/>
    <x v="96"/>
    <x v="1"/>
    <n v="10"/>
    <x v="1"/>
    <s v="No"/>
    <x v="1"/>
    <s v="Yes"/>
    <n v="20"/>
    <n v="10"/>
    <n v="20"/>
  </r>
  <r>
    <n v="3329"/>
    <x v="98"/>
    <x v="1"/>
    <x v="97"/>
    <x v="0"/>
    <n v="5"/>
    <x v="2"/>
    <s v="No"/>
    <x v="1"/>
    <s v="No"/>
    <n v="0"/>
    <n v="1"/>
    <n v="4"/>
  </r>
  <r>
    <n v="3330"/>
    <x v="99"/>
    <x v="0"/>
    <x v="98"/>
    <x v="1"/>
    <n v="15"/>
    <x v="0"/>
    <s v="Yes"/>
    <x v="0"/>
    <s v="Yes"/>
    <n v="20"/>
    <n v="15"/>
    <n v="50"/>
  </r>
  <r>
    <n v="3331"/>
    <x v="100"/>
    <x v="2"/>
    <x v="99"/>
    <x v="0"/>
    <n v="10"/>
    <x v="0"/>
    <s v="No"/>
    <x v="1"/>
    <s v="Yes"/>
    <n v="20"/>
    <n v="5"/>
    <n v="25"/>
  </r>
  <r>
    <n v="3332"/>
    <x v="101"/>
    <x v="1"/>
    <x v="100"/>
    <x v="1"/>
    <n v="5"/>
    <x v="1"/>
    <s v="No"/>
    <x v="1"/>
    <s v="No"/>
    <n v="0"/>
    <n v="0"/>
    <n v="5"/>
  </r>
  <r>
    <n v="3333"/>
    <x v="102"/>
    <x v="0"/>
    <x v="101"/>
    <x v="0"/>
    <n v="15"/>
    <x v="2"/>
    <s v="Yes"/>
    <x v="0"/>
    <s v="Yes"/>
    <n v="20"/>
    <n v="20"/>
    <n v="45"/>
  </r>
  <r>
    <n v="3334"/>
    <x v="103"/>
    <x v="2"/>
    <x v="102"/>
    <x v="1"/>
    <n v="10"/>
    <x v="2"/>
    <s v="No"/>
    <x v="1"/>
    <s v="Yes"/>
    <n v="20"/>
    <n v="12"/>
    <n v="18"/>
  </r>
  <r>
    <n v="3335"/>
    <x v="104"/>
    <x v="1"/>
    <x v="103"/>
    <x v="0"/>
    <n v="5"/>
    <x v="0"/>
    <s v="No"/>
    <x v="1"/>
    <s v="No"/>
    <n v="0"/>
    <n v="2"/>
    <n v="3"/>
  </r>
  <r>
    <n v="3336"/>
    <x v="105"/>
    <x v="1"/>
    <x v="104"/>
    <x v="0"/>
    <n v="5"/>
    <x v="0"/>
    <s v="No"/>
    <x v="1"/>
    <s v="No"/>
    <n v="0"/>
    <n v="0"/>
    <n v="5"/>
  </r>
  <r>
    <n v="3337"/>
    <x v="106"/>
    <x v="0"/>
    <x v="105"/>
    <x v="1"/>
    <n v="15"/>
    <x v="2"/>
    <s v="Yes"/>
    <x v="0"/>
    <s v="Yes"/>
    <n v="20"/>
    <n v="7"/>
    <n v="58"/>
  </r>
  <r>
    <n v="3338"/>
    <x v="107"/>
    <x v="2"/>
    <x v="106"/>
    <x v="0"/>
    <n v="10"/>
    <x v="1"/>
    <s v="No"/>
    <x v="1"/>
    <s v="Yes"/>
    <n v="20"/>
    <n v="10"/>
    <n v="20"/>
  </r>
  <r>
    <n v="3339"/>
    <x v="108"/>
    <x v="1"/>
    <x v="107"/>
    <x v="1"/>
    <n v="5"/>
    <x v="2"/>
    <s v="No"/>
    <x v="1"/>
    <s v="No"/>
    <n v="0"/>
    <n v="1"/>
    <n v="4"/>
  </r>
  <r>
    <n v="3340"/>
    <x v="109"/>
    <x v="0"/>
    <x v="108"/>
    <x v="0"/>
    <n v="15"/>
    <x v="0"/>
    <s v="Yes"/>
    <x v="0"/>
    <s v="Yes"/>
    <n v="20"/>
    <n v="15"/>
    <n v="50"/>
  </r>
  <r>
    <n v="3341"/>
    <x v="110"/>
    <x v="2"/>
    <x v="109"/>
    <x v="1"/>
    <n v="10"/>
    <x v="0"/>
    <s v="No"/>
    <x v="1"/>
    <s v="Yes"/>
    <n v="20"/>
    <n v="5"/>
    <n v="25"/>
  </r>
  <r>
    <n v="3342"/>
    <x v="111"/>
    <x v="1"/>
    <x v="110"/>
    <x v="0"/>
    <n v="5"/>
    <x v="1"/>
    <s v="No"/>
    <x v="1"/>
    <s v="No"/>
    <n v="0"/>
    <n v="0"/>
    <n v="5"/>
  </r>
  <r>
    <n v="3343"/>
    <x v="112"/>
    <x v="0"/>
    <x v="111"/>
    <x v="1"/>
    <n v="15"/>
    <x v="2"/>
    <s v="Yes"/>
    <x v="0"/>
    <s v="Yes"/>
    <n v="20"/>
    <n v="20"/>
    <n v="45"/>
  </r>
  <r>
    <n v="3344"/>
    <x v="113"/>
    <x v="2"/>
    <x v="112"/>
    <x v="0"/>
    <n v="10"/>
    <x v="2"/>
    <s v="No"/>
    <x v="1"/>
    <s v="Yes"/>
    <n v="20"/>
    <n v="12"/>
    <n v="18"/>
  </r>
  <r>
    <n v="3345"/>
    <x v="114"/>
    <x v="1"/>
    <x v="113"/>
    <x v="1"/>
    <n v="5"/>
    <x v="0"/>
    <s v="No"/>
    <x v="1"/>
    <s v="No"/>
    <n v="0"/>
    <n v="2"/>
    <n v="3"/>
  </r>
  <r>
    <n v="3346"/>
    <x v="115"/>
    <x v="0"/>
    <x v="114"/>
    <x v="0"/>
    <n v="15"/>
    <x v="1"/>
    <s v="Yes"/>
    <x v="0"/>
    <s v="Yes"/>
    <n v="20"/>
    <n v="5"/>
    <n v="60"/>
  </r>
  <r>
    <n v="3347"/>
    <x v="116"/>
    <x v="2"/>
    <x v="115"/>
    <x v="1"/>
    <n v="10"/>
    <x v="0"/>
    <s v="No"/>
    <x v="1"/>
    <s v="Yes"/>
    <n v="20"/>
    <n v="10"/>
    <n v="20"/>
  </r>
  <r>
    <n v="3348"/>
    <x v="117"/>
    <x v="1"/>
    <x v="116"/>
    <x v="0"/>
    <n v="5"/>
    <x v="2"/>
    <s v="No"/>
    <x v="1"/>
    <s v="No"/>
    <n v="0"/>
    <n v="0"/>
    <n v="5"/>
  </r>
  <r>
    <n v="3349"/>
    <x v="93"/>
    <x v="0"/>
    <x v="117"/>
    <x v="1"/>
    <n v="15"/>
    <x v="0"/>
    <s v="Yes"/>
    <x v="0"/>
    <s v="Yes"/>
    <n v="20"/>
    <n v="3"/>
    <n v="62"/>
  </r>
  <r>
    <n v="3350"/>
    <x v="118"/>
    <x v="2"/>
    <x v="118"/>
    <x v="0"/>
    <n v="10"/>
    <x v="1"/>
    <s v="No"/>
    <x v="1"/>
    <s v="Yes"/>
    <n v="20"/>
    <n v="15"/>
    <n v="15"/>
  </r>
  <r>
    <n v="3351"/>
    <x v="119"/>
    <x v="1"/>
    <x v="119"/>
    <x v="1"/>
    <n v="5"/>
    <x v="0"/>
    <s v="No"/>
    <x v="1"/>
    <s v="No"/>
    <n v="0"/>
    <n v="1"/>
    <n v="4"/>
  </r>
  <r>
    <n v="3352"/>
    <x v="120"/>
    <x v="0"/>
    <x v="120"/>
    <x v="0"/>
    <n v="15"/>
    <x v="2"/>
    <s v="Yes"/>
    <x v="0"/>
    <s v="Yes"/>
    <n v="20"/>
    <n v="7"/>
    <n v="58"/>
  </r>
  <r>
    <n v="3353"/>
    <x v="121"/>
    <x v="2"/>
    <x v="121"/>
    <x v="1"/>
    <n v="10"/>
    <x v="0"/>
    <s v="No"/>
    <x v="1"/>
    <s v="Yes"/>
    <n v="20"/>
    <n v="10"/>
    <n v="20"/>
  </r>
  <r>
    <n v="3354"/>
    <x v="122"/>
    <x v="1"/>
    <x v="122"/>
    <x v="0"/>
    <n v="5"/>
    <x v="1"/>
    <s v="No"/>
    <x v="1"/>
    <s v="No"/>
    <n v="0"/>
    <n v="0"/>
    <n v="5"/>
  </r>
  <r>
    <n v="3355"/>
    <x v="123"/>
    <x v="0"/>
    <x v="123"/>
    <x v="1"/>
    <n v="15"/>
    <x v="0"/>
    <s v="Yes"/>
    <x v="0"/>
    <s v="Yes"/>
    <n v="20"/>
    <n v="20"/>
    <n v="45"/>
  </r>
  <r>
    <n v="3356"/>
    <x v="124"/>
    <x v="2"/>
    <x v="124"/>
    <x v="0"/>
    <n v="10"/>
    <x v="2"/>
    <s v="No"/>
    <x v="1"/>
    <s v="Yes"/>
    <n v="20"/>
    <n v="15"/>
    <n v="15"/>
  </r>
  <r>
    <n v="3357"/>
    <x v="125"/>
    <x v="1"/>
    <x v="125"/>
    <x v="1"/>
    <n v="5"/>
    <x v="0"/>
    <s v="No"/>
    <x v="1"/>
    <s v="No"/>
    <n v="0"/>
    <n v="1"/>
    <n v="4"/>
  </r>
  <r>
    <n v="3358"/>
    <x v="126"/>
    <x v="0"/>
    <x v="126"/>
    <x v="0"/>
    <n v="15"/>
    <x v="1"/>
    <s v="Yes"/>
    <x v="0"/>
    <s v="Yes"/>
    <n v="20"/>
    <n v="3"/>
    <n v="62"/>
  </r>
  <r>
    <n v="3359"/>
    <x v="127"/>
    <x v="2"/>
    <x v="127"/>
    <x v="1"/>
    <n v="10"/>
    <x v="0"/>
    <s v="No"/>
    <x v="1"/>
    <s v="Yes"/>
    <n v="20"/>
    <n v="10"/>
    <n v="20"/>
  </r>
  <r>
    <n v="3360"/>
    <x v="128"/>
    <x v="1"/>
    <x v="128"/>
    <x v="0"/>
    <n v="5"/>
    <x v="2"/>
    <s v="No"/>
    <x v="1"/>
    <s v="No"/>
    <n v="0"/>
    <n v="0"/>
    <n v="5"/>
  </r>
  <r>
    <n v="3361"/>
    <x v="129"/>
    <x v="0"/>
    <x v="129"/>
    <x v="1"/>
    <n v="15"/>
    <x v="0"/>
    <s v="Yes"/>
    <x v="0"/>
    <s v="Yes"/>
    <n v="20"/>
    <n v="15"/>
    <n v="50"/>
  </r>
  <r>
    <n v="3362"/>
    <x v="130"/>
    <x v="2"/>
    <x v="130"/>
    <x v="0"/>
    <n v="10"/>
    <x v="1"/>
    <s v="No"/>
    <x v="1"/>
    <s v="Yes"/>
    <n v="20"/>
    <n v="15"/>
    <n v="15"/>
  </r>
  <r>
    <n v="3363"/>
    <x v="131"/>
    <x v="1"/>
    <x v="131"/>
    <x v="1"/>
    <n v="5"/>
    <x v="0"/>
    <s v="No"/>
    <x v="1"/>
    <s v="No"/>
    <n v="0"/>
    <n v="1"/>
    <n v="4"/>
  </r>
  <r>
    <n v="3364"/>
    <x v="132"/>
    <x v="0"/>
    <x v="132"/>
    <x v="0"/>
    <n v="15"/>
    <x v="2"/>
    <s v="Yes"/>
    <x v="0"/>
    <s v="Yes"/>
    <n v="20"/>
    <n v="7"/>
    <n v="58"/>
  </r>
  <r>
    <n v="3365"/>
    <x v="133"/>
    <x v="2"/>
    <x v="133"/>
    <x v="1"/>
    <n v="10"/>
    <x v="0"/>
    <s v="No"/>
    <x v="1"/>
    <s v="Yes"/>
    <n v="20"/>
    <n v="10"/>
    <n v="20"/>
  </r>
  <r>
    <n v="3366"/>
    <x v="134"/>
    <x v="1"/>
    <x v="134"/>
    <x v="0"/>
    <n v="5"/>
    <x v="0"/>
    <s v="No"/>
    <x v="1"/>
    <s v="No"/>
    <n v="0"/>
    <n v="0"/>
    <n v="5"/>
  </r>
  <r>
    <n v="3367"/>
    <x v="135"/>
    <x v="0"/>
    <x v="135"/>
    <x v="1"/>
    <n v="15"/>
    <x v="2"/>
    <s v="Yes"/>
    <x v="0"/>
    <s v="Yes"/>
    <n v="20"/>
    <n v="7"/>
    <n v="58"/>
  </r>
  <r>
    <n v="3368"/>
    <x v="136"/>
    <x v="2"/>
    <x v="136"/>
    <x v="0"/>
    <n v="10"/>
    <x v="1"/>
    <s v="No"/>
    <x v="1"/>
    <s v="Yes"/>
    <n v="20"/>
    <n v="10"/>
    <n v="20"/>
  </r>
  <r>
    <n v="3369"/>
    <x v="137"/>
    <x v="1"/>
    <x v="137"/>
    <x v="1"/>
    <n v="5"/>
    <x v="2"/>
    <s v="No"/>
    <x v="1"/>
    <s v="No"/>
    <n v="0"/>
    <n v="1"/>
    <n v="4"/>
  </r>
  <r>
    <n v="3370"/>
    <x v="138"/>
    <x v="0"/>
    <x v="138"/>
    <x v="0"/>
    <n v="15"/>
    <x v="0"/>
    <s v="Yes"/>
    <x v="0"/>
    <s v="Yes"/>
    <n v="20"/>
    <n v="15"/>
    <n v="50"/>
  </r>
  <r>
    <n v="3371"/>
    <x v="139"/>
    <x v="2"/>
    <x v="139"/>
    <x v="1"/>
    <n v="10"/>
    <x v="0"/>
    <s v="No"/>
    <x v="1"/>
    <s v="Yes"/>
    <n v="20"/>
    <n v="5"/>
    <n v="25"/>
  </r>
  <r>
    <n v="3372"/>
    <x v="140"/>
    <x v="1"/>
    <x v="140"/>
    <x v="0"/>
    <n v="5"/>
    <x v="1"/>
    <s v="No"/>
    <x v="1"/>
    <s v="No"/>
    <n v="0"/>
    <n v="0"/>
    <n v="5"/>
  </r>
  <r>
    <n v="3373"/>
    <x v="141"/>
    <x v="0"/>
    <x v="141"/>
    <x v="1"/>
    <n v="15"/>
    <x v="2"/>
    <s v="Yes"/>
    <x v="0"/>
    <s v="Yes"/>
    <n v="20"/>
    <n v="20"/>
    <n v="45"/>
  </r>
  <r>
    <n v="3374"/>
    <x v="142"/>
    <x v="2"/>
    <x v="142"/>
    <x v="0"/>
    <n v="10"/>
    <x v="2"/>
    <s v="No"/>
    <x v="1"/>
    <s v="Yes"/>
    <n v="20"/>
    <n v="12"/>
    <n v="18"/>
  </r>
  <r>
    <n v="3375"/>
    <x v="143"/>
    <x v="1"/>
    <x v="143"/>
    <x v="1"/>
    <n v="5"/>
    <x v="0"/>
    <s v="No"/>
    <x v="1"/>
    <s v="No"/>
    <n v="0"/>
    <n v="2"/>
    <n v="3"/>
  </r>
  <r>
    <n v="3376"/>
    <x v="144"/>
    <x v="0"/>
    <x v="144"/>
    <x v="0"/>
    <n v="15"/>
    <x v="1"/>
    <s v="Yes"/>
    <x v="0"/>
    <s v="Yes"/>
    <n v="20"/>
    <n v="5"/>
    <n v="60"/>
  </r>
  <r>
    <n v="3377"/>
    <x v="145"/>
    <x v="2"/>
    <x v="145"/>
    <x v="1"/>
    <n v="10"/>
    <x v="0"/>
    <s v="No"/>
    <x v="1"/>
    <s v="Yes"/>
    <n v="20"/>
    <n v="10"/>
    <n v="20"/>
  </r>
  <r>
    <n v="3378"/>
    <x v="146"/>
    <x v="1"/>
    <x v="146"/>
    <x v="0"/>
    <n v="5"/>
    <x v="2"/>
    <s v="No"/>
    <x v="1"/>
    <s v="No"/>
    <n v="0"/>
    <n v="0"/>
    <n v="5"/>
  </r>
  <r>
    <n v="3379"/>
    <x v="147"/>
    <x v="0"/>
    <x v="147"/>
    <x v="1"/>
    <n v="15"/>
    <x v="0"/>
    <s v="Yes"/>
    <x v="0"/>
    <s v="Yes"/>
    <n v="20"/>
    <n v="3"/>
    <n v="62"/>
  </r>
  <r>
    <n v="3380"/>
    <x v="148"/>
    <x v="2"/>
    <x v="148"/>
    <x v="0"/>
    <n v="10"/>
    <x v="1"/>
    <s v="No"/>
    <x v="1"/>
    <s v="Yes"/>
    <n v="20"/>
    <n v="15"/>
    <n v="15"/>
  </r>
  <r>
    <n v="3381"/>
    <x v="149"/>
    <x v="1"/>
    <x v="149"/>
    <x v="1"/>
    <n v="5"/>
    <x v="0"/>
    <s v="No"/>
    <x v="1"/>
    <s v="No"/>
    <n v="0"/>
    <n v="1"/>
    <n v="4"/>
  </r>
  <r>
    <n v="3382"/>
    <x v="150"/>
    <x v="0"/>
    <x v="150"/>
    <x v="0"/>
    <n v="15"/>
    <x v="2"/>
    <s v="Yes"/>
    <x v="0"/>
    <s v="Yes"/>
    <n v="20"/>
    <n v="7"/>
    <n v="58"/>
  </r>
  <r>
    <n v="3383"/>
    <x v="151"/>
    <x v="2"/>
    <x v="151"/>
    <x v="1"/>
    <n v="10"/>
    <x v="0"/>
    <s v="No"/>
    <x v="1"/>
    <s v="Yes"/>
    <n v="20"/>
    <n v="10"/>
    <n v="20"/>
  </r>
  <r>
    <n v="3384"/>
    <x v="152"/>
    <x v="1"/>
    <x v="152"/>
    <x v="0"/>
    <n v="5"/>
    <x v="1"/>
    <s v="No"/>
    <x v="1"/>
    <s v="No"/>
    <n v="0"/>
    <n v="0"/>
    <n v="5"/>
  </r>
  <r>
    <n v="3385"/>
    <x v="153"/>
    <x v="0"/>
    <x v="153"/>
    <x v="1"/>
    <n v="15"/>
    <x v="0"/>
    <s v="Yes"/>
    <x v="0"/>
    <s v="Yes"/>
    <n v="20"/>
    <n v="20"/>
    <n v="45"/>
  </r>
  <r>
    <n v="3386"/>
    <x v="154"/>
    <x v="2"/>
    <x v="154"/>
    <x v="0"/>
    <n v="10"/>
    <x v="2"/>
    <s v="No"/>
    <x v="1"/>
    <s v="Yes"/>
    <n v="20"/>
    <n v="15"/>
    <n v="15"/>
  </r>
  <r>
    <n v="3387"/>
    <x v="155"/>
    <x v="1"/>
    <x v="155"/>
    <x v="1"/>
    <n v="5"/>
    <x v="0"/>
    <s v="No"/>
    <x v="1"/>
    <s v="No"/>
    <n v="0"/>
    <n v="1"/>
    <n v="4"/>
  </r>
  <r>
    <n v="3388"/>
    <x v="156"/>
    <x v="0"/>
    <x v="156"/>
    <x v="0"/>
    <n v="15"/>
    <x v="1"/>
    <s v="Yes"/>
    <x v="0"/>
    <s v="Yes"/>
    <n v="20"/>
    <n v="3"/>
    <n v="62"/>
  </r>
  <r>
    <n v="3389"/>
    <x v="157"/>
    <x v="2"/>
    <x v="157"/>
    <x v="1"/>
    <n v="10"/>
    <x v="0"/>
    <s v="No"/>
    <x v="1"/>
    <s v="Yes"/>
    <n v="20"/>
    <n v="10"/>
    <n v="20"/>
  </r>
  <r>
    <n v="3390"/>
    <x v="158"/>
    <x v="1"/>
    <x v="158"/>
    <x v="0"/>
    <n v="5"/>
    <x v="2"/>
    <s v="No"/>
    <x v="1"/>
    <s v="No"/>
    <n v="0"/>
    <n v="0"/>
    <n v="5"/>
  </r>
  <r>
    <n v="3391"/>
    <x v="58"/>
    <x v="0"/>
    <x v="159"/>
    <x v="1"/>
    <n v="15"/>
    <x v="0"/>
    <s v="Yes"/>
    <x v="0"/>
    <s v="Yes"/>
    <n v="20"/>
    <n v="15"/>
    <n v="50"/>
  </r>
  <r>
    <n v="3392"/>
    <x v="159"/>
    <x v="2"/>
    <x v="160"/>
    <x v="0"/>
    <n v="10"/>
    <x v="1"/>
    <s v="No"/>
    <x v="1"/>
    <s v="Yes"/>
    <n v="20"/>
    <n v="15"/>
    <n v="15"/>
  </r>
  <r>
    <n v="3393"/>
    <x v="160"/>
    <x v="1"/>
    <x v="161"/>
    <x v="1"/>
    <n v="5"/>
    <x v="0"/>
    <s v="No"/>
    <x v="1"/>
    <s v="No"/>
    <n v="0"/>
    <n v="1"/>
    <n v="4"/>
  </r>
  <r>
    <n v="3394"/>
    <x v="161"/>
    <x v="0"/>
    <x v="162"/>
    <x v="0"/>
    <n v="15"/>
    <x v="2"/>
    <s v="Yes"/>
    <x v="0"/>
    <s v="Yes"/>
    <n v="20"/>
    <n v="7"/>
    <n v="58"/>
  </r>
  <r>
    <n v="3395"/>
    <x v="162"/>
    <x v="2"/>
    <x v="163"/>
    <x v="1"/>
    <n v="10"/>
    <x v="0"/>
    <s v="No"/>
    <x v="1"/>
    <s v="Yes"/>
    <n v="20"/>
    <n v="10"/>
    <n v="20"/>
  </r>
  <r>
    <n v="3396"/>
    <x v="163"/>
    <x v="1"/>
    <x v="164"/>
    <x v="0"/>
    <n v="5"/>
    <x v="1"/>
    <s v="No"/>
    <x v="1"/>
    <s v="No"/>
    <n v="0"/>
    <n v="0"/>
    <n v="5"/>
  </r>
  <r>
    <n v="3397"/>
    <x v="90"/>
    <x v="0"/>
    <x v="165"/>
    <x v="1"/>
    <n v="15"/>
    <x v="0"/>
    <s v="Yes"/>
    <x v="0"/>
    <s v="Yes"/>
    <n v="20"/>
    <n v="20"/>
    <n v="45"/>
  </r>
  <r>
    <n v="3398"/>
    <x v="164"/>
    <x v="2"/>
    <x v="166"/>
    <x v="0"/>
    <n v="10"/>
    <x v="2"/>
    <s v="No"/>
    <x v="1"/>
    <s v="Yes"/>
    <n v="20"/>
    <n v="15"/>
    <n v="15"/>
  </r>
  <r>
    <n v="3399"/>
    <x v="165"/>
    <x v="1"/>
    <x v="167"/>
    <x v="1"/>
    <n v="5"/>
    <x v="0"/>
    <s v="No"/>
    <x v="1"/>
    <s v="No"/>
    <n v="0"/>
    <n v="1"/>
    <n v="4"/>
  </r>
  <r>
    <n v="3400"/>
    <x v="166"/>
    <x v="0"/>
    <x v="168"/>
    <x v="0"/>
    <n v="15"/>
    <x v="1"/>
    <s v="Yes"/>
    <x v="0"/>
    <s v="Yes"/>
    <n v="20"/>
    <n v="5"/>
    <n v="60"/>
  </r>
  <r>
    <n v="3401"/>
    <x v="167"/>
    <x v="2"/>
    <x v="169"/>
    <x v="1"/>
    <n v="10"/>
    <x v="0"/>
    <s v="No"/>
    <x v="1"/>
    <s v="Yes"/>
    <n v="20"/>
    <n v="10"/>
    <n v="20"/>
  </r>
  <r>
    <n v="3402"/>
    <x v="168"/>
    <x v="1"/>
    <x v="170"/>
    <x v="0"/>
    <n v="5"/>
    <x v="2"/>
    <s v="No"/>
    <x v="1"/>
    <s v="No"/>
    <n v="0"/>
    <n v="0"/>
    <n v="5"/>
  </r>
  <r>
    <n v="3403"/>
    <x v="169"/>
    <x v="0"/>
    <x v="171"/>
    <x v="1"/>
    <n v="15"/>
    <x v="0"/>
    <s v="Yes"/>
    <x v="0"/>
    <s v="Yes"/>
    <n v="20"/>
    <n v="3"/>
    <n v="62"/>
  </r>
  <r>
    <n v="3404"/>
    <x v="170"/>
    <x v="2"/>
    <x v="172"/>
    <x v="0"/>
    <n v="10"/>
    <x v="1"/>
    <s v="No"/>
    <x v="1"/>
    <s v="Yes"/>
    <n v="20"/>
    <n v="15"/>
    <n v="15"/>
  </r>
  <r>
    <n v="3405"/>
    <x v="171"/>
    <x v="1"/>
    <x v="173"/>
    <x v="1"/>
    <n v="5"/>
    <x v="0"/>
    <s v="No"/>
    <x v="1"/>
    <s v="No"/>
    <n v="0"/>
    <n v="1"/>
    <n v="4"/>
  </r>
  <r>
    <n v="3406"/>
    <x v="172"/>
    <x v="1"/>
    <x v="174"/>
    <x v="0"/>
    <n v="5"/>
    <x v="0"/>
    <s v="No"/>
    <x v="1"/>
    <s v="No"/>
    <n v="0"/>
    <n v="0"/>
    <n v="5"/>
  </r>
  <r>
    <n v="3407"/>
    <x v="173"/>
    <x v="0"/>
    <x v="175"/>
    <x v="1"/>
    <n v="15"/>
    <x v="2"/>
    <s v="Yes"/>
    <x v="0"/>
    <s v="Yes"/>
    <n v="20"/>
    <n v="7"/>
    <n v="58"/>
  </r>
  <r>
    <n v="3408"/>
    <x v="174"/>
    <x v="2"/>
    <x v="176"/>
    <x v="0"/>
    <n v="10"/>
    <x v="1"/>
    <s v="No"/>
    <x v="1"/>
    <s v="Yes"/>
    <n v="20"/>
    <n v="10"/>
    <n v="20"/>
  </r>
  <r>
    <n v="3409"/>
    <x v="175"/>
    <x v="1"/>
    <x v="177"/>
    <x v="1"/>
    <n v="5"/>
    <x v="2"/>
    <s v="No"/>
    <x v="1"/>
    <s v="No"/>
    <n v="0"/>
    <n v="1"/>
    <n v="4"/>
  </r>
  <r>
    <n v="3410"/>
    <x v="176"/>
    <x v="0"/>
    <x v="178"/>
    <x v="0"/>
    <n v="15"/>
    <x v="0"/>
    <s v="Yes"/>
    <x v="0"/>
    <s v="Yes"/>
    <n v="20"/>
    <n v="15"/>
    <n v="50"/>
  </r>
  <r>
    <n v="3411"/>
    <x v="177"/>
    <x v="2"/>
    <x v="179"/>
    <x v="1"/>
    <n v="10"/>
    <x v="0"/>
    <s v="No"/>
    <x v="1"/>
    <s v="Yes"/>
    <n v="20"/>
    <n v="5"/>
    <n v="25"/>
  </r>
  <r>
    <n v="3412"/>
    <x v="178"/>
    <x v="1"/>
    <x v="180"/>
    <x v="0"/>
    <n v="5"/>
    <x v="1"/>
    <s v="No"/>
    <x v="1"/>
    <s v="No"/>
    <n v="0"/>
    <n v="0"/>
    <n v="5"/>
  </r>
  <r>
    <n v="3413"/>
    <x v="179"/>
    <x v="0"/>
    <x v="181"/>
    <x v="1"/>
    <n v="15"/>
    <x v="2"/>
    <s v="Yes"/>
    <x v="0"/>
    <s v="Yes"/>
    <n v="20"/>
    <n v="20"/>
    <n v="45"/>
  </r>
  <r>
    <n v="3414"/>
    <x v="180"/>
    <x v="2"/>
    <x v="182"/>
    <x v="0"/>
    <n v="10"/>
    <x v="2"/>
    <s v="No"/>
    <x v="1"/>
    <s v="Yes"/>
    <n v="20"/>
    <n v="12"/>
    <n v="18"/>
  </r>
  <r>
    <n v="3415"/>
    <x v="181"/>
    <x v="1"/>
    <x v="183"/>
    <x v="1"/>
    <n v="5"/>
    <x v="0"/>
    <s v="No"/>
    <x v="1"/>
    <s v="No"/>
    <n v="0"/>
    <n v="2"/>
    <n v="3"/>
  </r>
  <r>
    <n v="3416"/>
    <x v="182"/>
    <x v="0"/>
    <x v="184"/>
    <x v="0"/>
    <n v="15"/>
    <x v="1"/>
    <s v="Yes"/>
    <x v="0"/>
    <s v="Yes"/>
    <n v="20"/>
    <n v="5"/>
    <n v="60"/>
  </r>
  <r>
    <n v="3417"/>
    <x v="183"/>
    <x v="2"/>
    <x v="185"/>
    <x v="1"/>
    <n v="10"/>
    <x v="0"/>
    <s v="No"/>
    <x v="1"/>
    <s v="Yes"/>
    <n v="20"/>
    <n v="10"/>
    <n v="20"/>
  </r>
  <r>
    <n v="3418"/>
    <x v="184"/>
    <x v="1"/>
    <x v="186"/>
    <x v="0"/>
    <n v="5"/>
    <x v="2"/>
    <s v="No"/>
    <x v="1"/>
    <s v="No"/>
    <n v="0"/>
    <n v="0"/>
    <n v="5"/>
  </r>
  <r>
    <n v="3419"/>
    <x v="185"/>
    <x v="0"/>
    <x v="187"/>
    <x v="1"/>
    <n v="15"/>
    <x v="0"/>
    <s v="Yes"/>
    <x v="0"/>
    <s v="Yes"/>
    <n v="20"/>
    <n v="3"/>
    <n v="62"/>
  </r>
  <r>
    <n v="3420"/>
    <x v="186"/>
    <x v="2"/>
    <x v="188"/>
    <x v="0"/>
    <n v="10"/>
    <x v="1"/>
    <s v="No"/>
    <x v="1"/>
    <s v="Yes"/>
    <n v="20"/>
    <n v="15"/>
    <n v="15"/>
  </r>
  <r>
    <n v="3421"/>
    <x v="15"/>
    <x v="1"/>
    <x v="189"/>
    <x v="1"/>
    <n v="5"/>
    <x v="0"/>
    <s v="No"/>
    <x v="1"/>
    <s v="No"/>
    <n v="0"/>
    <n v="1"/>
    <n v="4"/>
  </r>
  <r>
    <n v="3422"/>
    <x v="187"/>
    <x v="0"/>
    <x v="190"/>
    <x v="0"/>
    <n v="15"/>
    <x v="2"/>
    <s v="Yes"/>
    <x v="0"/>
    <s v="Yes"/>
    <n v="20"/>
    <n v="7"/>
    <n v="58"/>
  </r>
  <r>
    <n v="3423"/>
    <x v="188"/>
    <x v="2"/>
    <x v="191"/>
    <x v="1"/>
    <n v="10"/>
    <x v="0"/>
    <s v="No"/>
    <x v="1"/>
    <s v="Yes"/>
    <n v="20"/>
    <n v="10"/>
    <n v="20"/>
  </r>
  <r>
    <n v="3424"/>
    <x v="14"/>
    <x v="1"/>
    <x v="192"/>
    <x v="0"/>
    <n v="5"/>
    <x v="1"/>
    <s v="No"/>
    <x v="1"/>
    <s v="No"/>
    <n v="0"/>
    <n v="0"/>
    <n v="5"/>
  </r>
  <r>
    <n v="3425"/>
    <x v="189"/>
    <x v="0"/>
    <x v="193"/>
    <x v="1"/>
    <n v="15"/>
    <x v="0"/>
    <s v="Yes"/>
    <x v="0"/>
    <s v="Yes"/>
    <n v="20"/>
    <n v="20"/>
    <n v="45"/>
  </r>
  <r>
    <n v="3426"/>
    <x v="167"/>
    <x v="2"/>
    <x v="194"/>
    <x v="0"/>
    <n v="10"/>
    <x v="2"/>
    <s v="No"/>
    <x v="1"/>
    <s v="Yes"/>
    <n v="20"/>
    <n v="15"/>
    <n v="15"/>
  </r>
  <r>
    <n v="3427"/>
    <x v="190"/>
    <x v="1"/>
    <x v="195"/>
    <x v="1"/>
    <n v="5"/>
    <x v="0"/>
    <s v="No"/>
    <x v="1"/>
    <s v="No"/>
    <n v="0"/>
    <n v="1"/>
    <n v="4"/>
  </r>
  <r>
    <n v="3428"/>
    <x v="191"/>
    <x v="0"/>
    <x v="196"/>
    <x v="0"/>
    <n v="15"/>
    <x v="1"/>
    <s v="Yes"/>
    <x v="0"/>
    <s v="Yes"/>
    <n v="20"/>
    <n v="3"/>
    <n v="62"/>
  </r>
  <r>
    <n v="3429"/>
    <x v="192"/>
    <x v="2"/>
    <x v="197"/>
    <x v="1"/>
    <n v="10"/>
    <x v="0"/>
    <s v="No"/>
    <x v="1"/>
    <s v="Yes"/>
    <n v="20"/>
    <n v="10"/>
    <n v="20"/>
  </r>
  <r>
    <n v="3430"/>
    <x v="193"/>
    <x v="1"/>
    <x v="198"/>
    <x v="0"/>
    <n v="5"/>
    <x v="2"/>
    <s v="No"/>
    <x v="1"/>
    <s v="No"/>
    <n v="0"/>
    <n v="0"/>
    <n v="5"/>
  </r>
  <r>
    <n v="3431"/>
    <x v="194"/>
    <x v="0"/>
    <x v="199"/>
    <x v="1"/>
    <n v="15"/>
    <x v="0"/>
    <s v="Yes"/>
    <x v="0"/>
    <s v="Yes"/>
    <n v="20"/>
    <n v="15"/>
    <n v="50"/>
  </r>
  <r>
    <n v="3432"/>
    <x v="195"/>
    <x v="2"/>
    <x v="200"/>
    <x v="0"/>
    <n v="10"/>
    <x v="1"/>
    <s v="No"/>
    <x v="1"/>
    <s v="Yes"/>
    <n v="20"/>
    <n v="15"/>
    <n v="15"/>
  </r>
  <r>
    <n v="3433"/>
    <x v="196"/>
    <x v="1"/>
    <x v="201"/>
    <x v="1"/>
    <n v="5"/>
    <x v="0"/>
    <s v="No"/>
    <x v="1"/>
    <s v="No"/>
    <n v="0"/>
    <n v="1"/>
    <n v="4"/>
  </r>
  <r>
    <n v="3434"/>
    <x v="197"/>
    <x v="0"/>
    <x v="202"/>
    <x v="0"/>
    <n v="15"/>
    <x v="2"/>
    <s v="Yes"/>
    <x v="0"/>
    <s v="Yes"/>
    <n v="20"/>
    <n v="7"/>
    <n v="58"/>
  </r>
  <r>
    <n v="3435"/>
    <x v="198"/>
    <x v="2"/>
    <x v="203"/>
    <x v="1"/>
    <n v="10"/>
    <x v="0"/>
    <s v="No"/>
    <x v="1"/>
    <s v="Yes"/>
    <n v="20"/>
    <n v="10"/>
    <n v="20"/>
  </r>
  <r>
    <n v="3436"/>
    <x v="199"/>
    <x v="1"/>
    <x v="204"/>
    <x v="0"/>
    <n v="5"/>
    <x v="0"/>
    <s v="No"/>
    <x v="1"/>
    <s v="No"/>
    <n v="0"/>
    <n v="0"/>
    <n v="5"/>
  </r>
  <r>
    <n v="3437"/>
    <x v="200"/>
    <x v="0"/>
    <x v="205"/>
    <x v="1"/>
    <n v="15"/>
    <x v="2"/>
    <s v="Yes"/>
    <x v="0"/>
    <s v="Yes"/>
    <n v="20"/>
    <n v="7"/>
    <n v="58"/>
  </r>
  <r>
    <n v="3438"/>
    <x v="201"/>
    <x v="2"/>
    <x v="206"/>
    <x v="0"/>
    <n v="10"/>
    <x v="1"/>
    <s v="No"/>
    <x v="1"/>
    <s v="Yes"/>
    <n v="20"/>
    <n v="10"/>
    <n v="20"/>
  </r>
  <r>
    <n v="3439"/>
    <x v="202"/>
    <x v="1"/>
    <x v="207"/>
    <x v="1"/>
    <n v="5"/>
    <x v="2"/>
    <s v="No"/>
    <x v="1"/>
    <s v="No"/>
    <n v="0"/>
    <n v="1"/>
    <n v="4"/>
  </r>
  <r>
    <n v="3440"/>
    <x v="203"/>
    <x v="0"/>
    <x v="208"/>
    <x v="0"/>
    <n v="15"/>
    <x v="0"/>
    <s v="Yes"/>
    <x v="0"/>
    <s v="Yes"/>
    <n v="20"/>
    <n v="15"/>
    <n v="50"/>
  </r>
  <r>
    <n v="3441"/>
    <x v="204"/>
    <x v="2"/>
    <x v="209"/>
    <x v="1"/>
    <n v="10"/>
    <x v="0"/>
    <s v="No"/>
    <x v="1"/>
    <s v="Yes"/>
    <n v="20"/>
    <n v="5"/>
    <n v="25"/>
  </r>
  <r>
    <n v="3442"/>
    <x v="205"/>
    <x v="1"/>
    <x v="210"/>
    <x v="0"/>
    <n v="5"/>
    <x v="1"/>
    <s v="No"/>
    <x v="1"/>
    <s v="No"/>
    <n v="0"/>
    <n v="0"/>
    <n v="5"/>
  </r>
  <r>
    <n v="3443"/>
    <x v="206"/>
    <x v="0"/>
    <x v="211"/>
    <x v="1"/>
    <n v="15"/>
    <x v="2"/>
    <s v="Yes"/>
    <x v="0"/>
    <s v="Yes"/>
    <n v="20"/>
    <n v="20"/>
    <n v="45"/>
  </r>
  <r>
    <n v="3444"/>
    <x v="207"/>
    <x v="2"/>
    <x v="212"/>
    <x v="0"/>
    <n v="10"/>
    <x v="2"/>
    <s v="No"/>
    <x v="1"/>
    <s v="Yes"/>
    <n v="20"/>
    <n v="12"/>
    <n v="18"/>
  </r>
  <r>
    <n v="3445"/>
    <x v="37"/>
    <x v="1"/>
    <x v="213"/>
    <x v="1"/>
    <n v="5"/>
    <x v="0"/>
    <s v="No"/>
    <x v="1"/>
    <s v="No"/>
    <n v="0"/>
    <n v="2"/>
    <n v="3"/>
  </r>
  <r>
    <n v="3446"/>
    <x v="208"/>
    <x v="0"/>
    <x v="214"/>
    <x v="0"/>
    <n v="15"/>
    <x v="1"/>
    <s v="Yes"/>
    <x v="0"/>
    <s v="Yes"/>
    <n v="20"/>
    <n v="5"/>
    <n v="60"/>
  </r>
  <r>
    <n v="3447"/>
    <x v="209"/>
    <x v="2"/>
    <x v="215"/>
    <x v="1"/>
    <n v="10"/>
    <x v="0"/>
    <s v="No"/>
    <x v="1"/>
    <s v="Yes"/>
    <n v="20"/>
    <n v="10"/>
    <n v="20"/>
  </r>
  <r>
    <n v="3448"/>
    <x v="210"/>
    <x v="1"/>
    <x v="216"/>
    <x v="0"/>
    <n v="5"/>
    <x v="2"/>
    <s v="No"/>
    <x v="1"/>
    <s v="No"/>
    <n v="0"/>
    <n v="0"/>
    <n v="5"/>
  </r>
  <r>
    <n v="3449"/>
    <x v="211"/>
    <x v="0"/>
    <x v="217"/>
    <x v="1"/>
    <n v="15"/>
    <x v="0"/>
    <s v="Yes"/>
    <x v="0"/>
    <s v="Yes"/>
    <n v="20"/>
    <n v="3"/>
    <n v="62"/>
  </r>
  <r>
    <n v="3450"/>
    <x v="212"/>
    <x v="2"/>
    <x v="218"/>
    <x v="0"/>
    <n v="10"/>
    <x v="1"/>
    <s v="No"/>
    <x v="1"/>
    <s v="Yes"/>
    <n v="20"/>
    <n v="15"/>
    <n v="15"/>
  </r>
  <r>
    <n v="3451"/>
    <x v="213"/>
    <x v="1"/>
    <x v="219"/>
    <x v="1"/>
    <n v="5"/>
    <x v="0"/>
    <s v="No"/>
    <x v="1"/>
    <s v="No"/>
    <n v="0"/>
    <n v="1"/>
    <n v="4"/>
  </r>
  <r>
    <n v="3452"/>
    <x v="191"/>
    <x v="0"/>
    <x v="220"/>
    <x v="0"/>
    <n v="15"/>
    <x v="2"/>
    <s v="Yes"/>
    <x v="0"/>
    <s v="Yes"/>
    <n v="20"/>
    <n v="7"/>
    <n v="58"/>
  </r>
  <r>
    <n v="3453"/>
    <x v="45"/>
    <x v="2"/>
    <x v="221"/>
    <x v="1"/>
    <n v="10"/>
    <x v="0"/>
    <s v="No"/>
    <x v="1"/>
    <s v="Yes"/>
    <n v="20"/>
    <n v="10"/>
    <n v="20"/>
  </r>
  <r>
    <n v="3454"/>
    <x v="214"/>
    <x v="1"/>
    <x v="222"/>
    <x v="0"/>
    <n v="5"/>
    <x v="1"/>
    <s v="No"/>
    <x v="1"/>
    <s v="No"/>
    <n v="0"/>
    <n v="0"/>
    <n v="5"/>
  </r>
  <r>
    <n v="3455"/>
    <x v="215"/>
    <x v="0"/>
    <x v="223"/>
    <x v="1"/>
    <n v="15"/>
    <x v="0"/>
    <s v="Yes"/>
    <x v="0"/>
    <s v="Yes"/>
    <n v="20"/>
    <n v="20"/>
    <n v="45"/>
  </r>
  <r>
    <n v="3456"/>
    <x v="216"/>
    <x v="2"/>
    <x v="224"/>
    <x v="0"/>
    <n v="10"/>
    <x v="2"/>
    <s v="No"/>
    <x v="1"/>
    <s v="Yes"/>
    <n v="20"/>
    <n v="15"/>
    <n v="15"/>
  </r>
  <r>
    <n v="3457"/>
    <x v="217"/>
    <x v="1"/>
    <x v="225"/>
    <x v="1"/>
    <n v="5"/>
    <x v="0"/>
    <s v="No"/>
    <x v="1"/>
    <s v="No"/>
    <n v="0"/>
    <n v="1"/>
    <n v="4"/>
  </r>
  <r>
    <n v="3458"/>
    <x v="218"/>
    <x v="0"/>
    <x v="226"/>
    <x v="0"/>
    <n v="15"/>
    <x v="1"/>
    <s v="Yes"/>
    <x v="0"/>
    <s v="Yes"/>
    <n v="20"/>
    <n v="3"/>
    <n v="62"/>
  </r>
  <r>
    <n v="3459"/>
    <x v="219"/>
    <x v="2"/>
    <x v="227"/>
    <x v="1"/>
    <n v="10"/>
    <x v="0"/>
    <s v="No"/>
    <x v="1"/>
    <s v="Yes"/>
    <n v="20"/>
    <n v="10"/>
    <n v="20"/>
  </r>
  <r>
    <n v="3460"/>
    <x v="127"/>
    <x v="1"/>
    <x v="228"/>
    <x v="0"/>
    <n v="5"/>
    <x v="2"/>
    <s v="No"/>
    <x v="1"/>
    <s v="No"/>
    <n v="0"/>
    <n v="0"/>
    <n v="5"/>
  </r>
  <r>
    <n v="3461"/>
    <x v="220"/>
    <x v="0"/>
    <x v="229"/>
    <x v="1"/>
    <n v="15"/>
    <x v="0"/>
    <s v="Yes"/>
    <x v="0"/>
    <s v="Yes"/>
    <n v="20"/>
    <n v="15"/>
    <n v="50"/>
  </r>
  <r>
    <n v="3462"/>
    <x v="221"/>
    <x v="2"/>
    <x v="230"/>
    <x v="0"/>
    <n v="10"/>
    <x v="1"/>
    <s v="No"/>
    <x v="1"/>
    <s v="Yes"/>
    <n v="20"/>
    <n v="15"/>
    <n v="15"/>
  </r>
  <r>
    <n v="3463"/>
    <x v="222"/>
    <x v="1"/>
    <x v="231"/>
    <x v="1"/>
    <n v="5"/>
    <x v="0"/>
    <s v="No"/>
    <x v="1"/>
    <s v="No"/>
    <n v="0"/>
    <n v="1"/>
    <n v="4"/>
  </r>
  <r>
    <n v="3464"/>
    <x v="223"/>
    <x v="0"/>
    <x v="232"/>
    <x v="0"/>
    <n v="15"/>
    <x v="2"/>
    <s v="Yes"/>
    <x v="0"/>
    <s v="Yes"/>
    <n v="20"/>
    <n v="7"/>
    <n v="58"/>
  </r>
  <r>
    <n v="3465"/>
    <x v="224"/>
    <x v="2"/>
    <x v="233"/>
    <x v="1"/>
    <n v="10"/>
    <x v="0"/>
    <s v="No"/>
    <x v="1"/>
    <s v="Yes"/>
    <n v="20"/>
    <n v="10"/>
    <n v="20"/>
  </r>
  <r>
    <n v="3466"/>
    <x v="225"/>
    <x v="1"/>
    <x v="234"/>
    <x v="0"/>
    <n v="5"/>
    <x v="1"/>
    <s v="No"/>
    <x v="1"/>
    <s v="No"/>
    <n v="0"/>
    <n v="0"/>
    <n v="5"/>
  </r>
  <r>
    <n v="3467"/>
    <x v="226"/>
    <x v="0"/>
    <x v="235"/>
    <x v="1"/>
    <n v="15"/>
    <x v="0"/>
    <s v="Yes"/>
    <x v="0"/>
    <s v="Yes"/>
    <n v="20"/>
    <n v="15"/>
    <n v="50"/>
  </r>
  <r>
    <n v="3468"/>
    <x v="227"/>
    <x v="2"/>
    <x v="236"/>
    <x v="0"/>
    <n v="10"/>
    <x v="2"/>
    <s v="No"/>
    <x v="1"/>
    <s v="Yes"/>
    <n v="20"/>
    <n v="12"/>
    <n v="18"/>
  </r>
  <r>
    <n v="3469"/>
    <x v="228"/>
    <x v="1"/>
    <x v="237"/>
    <x v="1"/>
    <n v="5"/>
    <x v="0"/>
    <s v="No"/>
    <x v="1"/>
    <s v="No"/>
    <n v="0"/>
    <n v="2"/>
    <n v="3"/>
  </r>
  <r>
    <n v="3470"/>
    <x v="229"/>
    <x v="0"/>
    <x v="238"/>
    <x v="0"/>
    <n v="15"/>
    <x v="1"/>
    <s v="Yes"/>
    <x v="0"/>
    <s v="Yes"/>
    <n v="20"/>
    <n v="5"/>
    <n v="60"/>
  </r>
  <r>
    <n v="3471"/>
    <x v="230"/>
    <x v="2"/>
    <x v="239"/>
    <x v="1"/>
    <n v="10"/>
    <x v="0"/>
    <s v="No"/>
    <x v="1"/>
    <s v="Yes"/>
    <n v="20"/>
    <n v="10"/>
    <n v="20"/>
  </r>
  <r>
    <n v="3472"/>
    <x v="231"/>
    <x v="1"/>
    <x v="240"/>
    <x v="0"/>
    <n v="5"/>
    <x v="2"/>
    <s v="No"/>
    <x v="1"/>
    <s v="No"/>
    <n v="0"/>
    <n v="0"/>
    <n v="5"/>
  </r>
  <r>
    <n v="3473"/>
    <x v="140"/>
    <x v="0"/>
    <x v="241"/>
    <x v="1"/>
    <n v="15"/>
    <x v="0"/>
    <s v="Yes"/>
    <x v="0"/>
    <s v="Yes"/>
    <n v="20"/>
    <n v="3"/>
    <n v="62"/>
  </r>
  <r>
    <n v="3474"/>
    <x v="232"/>
    <x v="2"/>
    <x v="242"/>
    <x v="0"/>
    <n v="10"/>
    <x v="1"/>
    <s v="No"/>
    <x v="1"/>
    <s v="Yes"/>
    <n v="20"/>
    <n v="15"/>
    <n v="15"/>
  </r>
  <r>
    <n v="3475"/>
    <x v="233"/>
    <x v="1"/>
    <x v="243"/>
    <x v="1"/>
    <n v="5"/>
    <x v="0"/>
    <s v="No"/>
    <x v="1"/>
    <s v="No"/>
    <n v="0"/>
    <n v="1"/>
    <n v="4"/>
  </r>
  <r>
    <n v="3476"/>
    <x v="234"/>
    <x v="0"/>
    <x v="244"/>
    <x v="0"/>
    <n v="15"/>
    <x v="2"/>
    <s v="Yes"/>
    <x v="0"/>
    <s v="Yes"/>
    <n v="20"/>
    <n v="7"/>
    <n v="58"/>
  </r>
  <r>
    <n v="3477"/>
    <x v="235"/>
    <x v="2"/>
    <x v="245"/>
    <x v="1"/>
    <n v="10"/>
    <x v="0"/>
    <s v="No"/>
    <x v="1"/>
    <s v="Yes"/>
    <n v="20"/>
    <n v="10"/>
    <n v="20"/>
  </r>
  <r>
    <n v="3478"/>
    <x v="236"/>
    <x v="1"/>
    <x v="246"/>
    <x v="0"/>
    <n v="5"/>
    <x v="1"/>
    <s v="No"/>
    <x v="1"/>
    <s v="No"/>
    <n v="0"/>
    <n v="0"/>
    <n v="5"/>
  </r>
  <r>
    <n v="3479"/>
    <x v="237"/>
    <x v="0"/>
    <x v="247"/>
    <x v="1"/>
    <n v="15"/>
    <x v="0"/>
    <s v="Yes"/>
    <x v="0"/>
    <s v="Yes"/>
    <n v="20"/>
    <n v="20"/>
    <n v="45"/>
  </r>
  <r>
    <n v="3480"/>
    <x v="238"/>
    <x v="2"/>
    <x v="248"/>
    <x v="0"/>
    <n v="10"/>
    <x v="2"/>
    <s v="No"/>
    <x v="1"/>
    <s v="Yes"/>
    <n v="20"/>
    <n v="15"/>
    <n v="15"/>
  </r>
  <r>
    <n v="3481"/>
    <x v="239"/>
    <x v="1"/>
    <x v="249"/>
    <x v="1"/>
    <n v="5"/>
    <x v="0"/>
    <s v="No"/>
    <x v="1"/>
    <s v="No"/>
    <n v="0"/>
    <n v="1"/>
    <n v="4"/>
  </r>
  <r>
    <n v="3482"/>
    <x v="240"/>
    <x v="0"/>
    <x v="250"/>
    <x v="0"/>
    <n v="15"/>
    <x v="1"/>
    <s v="Yes"/>
    <x v="0"/>
    <s v="Yes"/>
    <n v="20"/>
    <n v="3"/>
    <n v="62"/>
  </r>
  <r>
    <n v="3483"/>
    <x v="241"/>
    <x v="2"/>
    <x v="251"/>
    <x v="1"/>
    <n v="10"/>
    <x v="0"/>
    <s v="No"/>
    <x v="1"/>
    <s v="Yes"/>
    <n v="20"/>
    <n v="10"/>
    <n v="20"/>
  </r>
  <r>
    <n v="3484"/>
    <x v="242"/>
    <x v="1"/>
    <x v="252"/>
    <x v="0"/>
    <n v="5"/>
    <x v="2"/>
    <s v="No"/>
    <x v="1"/>
    <s v="No"/>
    <n v="0"/>
    <n v="0"/>
    <n v="5"/>
  </r>
  <r>
    <n v="3485"/>
    <x v="243"/>
    <x v="0"/>
    <x v="253"/>
    <x v="1"/>
    <n v="15"/>
    <x v="0"/>
    <s v="Yes"/>
    <x v="0"/>
    <s v="Yes"/>
    <n v="20"/>
    <n v="15"/>
    <n v="50"/>
  </r>
  <r>
    <n v="3486"/>
    <x v="244"/>
    <x v="1"/>
    <x v="254"/>
    <x v="0"/>
    <n v="5"/>
    <x v="0"/>
    <s v="No"/>
    <x v="1"/>
    <s v="No"/>
    <n v="0"/>
    <n v="0"/>
    <n v="5"/>
  </r>
  <r>
    <n v="3487"/>
    <x v="245"/>
    <x v="0"/>
    <x v="255"/>
    <x v="1"/>
    <n v="15"/>
    <x v="2"/>
    <s v="Yes"/>
    <x v="0"/>
    <s v="Yes"/>
    <n v="20"/>
    <n v="7"/>
    <n v="58"/>
  </r>
  <r>
    <n v="3488"/>
    <x v="246"/>
    <x v="2"/>
    <x v="256"/>
    <x v="0"/>
    <n v="10"/>
    <x v="1"/>
    <s v="No"/>
    <x v="1"/>
    <s v="Yes"/>
    <n v="20"/>
    <n v="10"/>
    <n v="20"/>
  </r>
  <r>
    <n v="3489"/>
    <x v="247"/>
    <x v="1"/>
    <x v="257"/>
    <x v="1"/>
    <n v="5"/>
    <x v="2"/>
    <s v="No"/>
    <x v="1"/>
    <s v="No"/>
    <n v="0"/>
    <n v="1"/>
    <n v="4"/>
  </r>
  <r>
    <n v="3490"/>
    <x v="248"/>
    <x v="0"/>
    <x v="258"/>
    <x v="0"/>
    <n v="15"/>
    <x v="0"/>
    <s v="Yes"/>
    <x v="0"/>
    <s v="Yes"/>
    <n v="20"/>
    <n v="15"/>
    <n v="50"/>
  </r>
  <r>
    <n v="3491"/>
    <x v="249"/>
    <x v="2"/>
    <x v="259"/>
    <x v="1"/>
    <n v="10"/>
    <x v="0"/>
    <s v="No"/>
    <x v="1"/>
    <s v="Yes"/>
    <n v="20"/>
    <n v="5"/>
    <n v="25"/>
  </r>
  <r>
    <n v="3492"/>
    <x v="250"/>
    <x v="1"/>
    <x v="260"/>
    <x v="0"/>
    <n v="5"/>
    <x v="1"/>
    <s v="No"/>
    <x v="1"/>
    <s v="No"/>
    <n v="0"/>
    <n v="0"/>
    <n v="5"/>
  </r>
  <r>
    <n v="3493"/>
    <x v="251"/>
    <x v="0"/>
    <x v="261"/>
    <x v="1"/>
    <n v="15"/>
    <x v="2"/>
    <s v="Yes"/>
    <x v="0"/>
    <s v="Yes"/>
    <n v="20"/>
    <n v="20"/>
    <n v="45"/>
  </r>
  <r>
    <n v="3494"/>
    <x v="252"/>
    <x v="2"/>
    <x v="262"/>
    <x v="0"/>
    <n v="10"/>
    <x v="2"/>
    <s v="No"/>
    <x v="1"/>
    <s v="Yes"/>
    <n v="20"/>
    <n v="12"/>
    <n v="18"/>
  </r>
  <r>
    <n v="3495"/>
    <x v="253"/>
    <x v="1"/>
    <x v="263"/>
    <x v="1"/>
    <n v="5"/>
    <x v="0"/>
    <s v="No"/>
    <x v="1"/>
    <s v="No"/>
    <n v="0"/>
    <n v="2"/>
    <n v="3"/>
  </r>
  <r>
    <n v="3496"/>
    <x v="254"/>
    <x v="0"/>
    <x v="264"/>
    <x v="0"/>
    <n v="15"/>
    <x v="1"/>
    <s v="Yes"/>
    <x v="0"/>
    <s v="Yes"/>
    <n v="20"/>
    <n v="5"/>
    <n v="60"/>
  </r>
  <r>
    <n v="3497"/>
    <x v="255"/>
    <x v="2"/>
    <x v="265"/>
    <x v="1"/>
    <n v="10"/>
    <x v="0"/>
    <s v="No"/>
    <x v="1"/>
    <s v="Yes"/>
    <n v="20"/>
    <n v="10"/>
    <n v="20"/>
  </r>
  <r>
    <n v="3498"/>
    <x v="256"/>
    <x v="1"/>
    <x v="266"/>
    <x v="0"/>
    <n v="5"/>
    <x v="2"/>
    <s v="No"/>
    <x v="1"/>
    <s v="No"/>
    <n v="0"/>
    <n v="0"/>
    <n v="5"/>
  </r>
  <r>
    <n v="3499"/>
    <x v="257"/>
    <x v="0"/>
    <x v="267"/>
    <x v="1"/>
    <n v="15"/>
    <x v="0"/>
    <s v="Yes"/>
    <x v="0"/>
    <s v="Yes"/>
    <n v="20"/>
    <n v="3"/>
    <n v="62"/>
  </r>
  <r>
    <n v="3500"/>
    <x v="258"/>
    <x v="2"/>
    <x v="268"/>
    <x v="0"/>
    <n v="10"/>
    <x v="1"/>
    <s v="No"/>
    <x v="1"/>
    <s v="Yes"/>
    <n v="20"/>
    <n v="15"/>
    <n v="15"/>
  </r>
  <r>
    <n v="3501"/>
    <x v="259"/>
    <x v="1"/>
    <x v="269"/>
    <x v="1"/>
    <n v="5"/>
    <x v="0"/>
    <s v="No"/>
    <x v="1"/>
    <s v="No"/>
    <n v="0"/>
    <n v="1"/>
    <n v="4"/>
  </r>
  <r>
    <n v="3502"/>
    <x v="260"/>
    <x v="0"/>
    <x v="270"/>
    <x v="0"/>
    <n v="15"/>
    <x v="2"/>
    <s v="Yes"/>
    <x v="0"/>
    <s v="Yes"/>
    <n v="20"/>
    <n v="7"/>
    <n v="58"/>
  </r>
  <r>
    <n v="3503"/>
    <x v="119"/>
    <x v="2"/>
    <x v="271"/>
    <x v="1"/>
    <n v="10"/>
    <x v="0"/>
    <s v="No"/>
    <x v="1"/>
    <s v="Yes"/>
    <n v="20"/>
    <n v="10"/>
    <n v="20"/>
  </r>
  <r>
    <n v="3504"/>
    <x v="261"/>
    <x v="1"/>
    <x v="272"/>
    <x v="0"/>
    <n v="5"/>
    <x v="1"/>
    <s v="No"/>
    <x v="1"/>
    <s v="No"/>
    <n v="0"/>
    <n v="0"/>
    <n v="5"/>
  </r>
  <r>
    <n v="3505"/>
    <x v="262"/>
    <x v="0"/>
    <x v="273"/>
    <x v="1"/>
    <n v="15"/>
    <x v="0"/>
    <s v="Yes"/>
    <x v="0"/>
    <s v="Yes"/>
    <n v="20"/>
    <n v="20"/>
    <n v="45"/>
  </r>
  <r>
    <n v="3506"/>
    <x v="263"/>
    <x v="2"/>
    <x v="274"/>
    <x v="0"/>
    <n v="10"/>
    <x v="2"/>
    <s v="No"/>
    <x v="1"/>
    <s v="Yes"/>
    <n v="20"/>
    <n v="15"/>
    <n v="15"/>
  </r>
  <r>
    <n v="3507"/>
    <x v="264"/>
    <x v="1"/>
    <x v="275"/>
    <x v="1"/>
    <n v="5"/>
    <x v="0"/>
    <s v="No"/>
    <x v="1"/>
    <s v="No"/>
    <n v="0"/>
    <n v="1"/>
    <n v="4"/>
  </r>
  <r>
    <n v="3508"/>
    <x v="265"/>
    <x v="0"/>
    <x v="276"/>
    <x v="0"/>
    <n v="15"/>
    <x v="1"/>
    <s v="Yes"/>
    <x v="0"/>
    <s v="Yes"/>
    <n v="20"/>
    <n v="3"/>
    <n v="62"/>
  </r>
  <r>
    <n v="3509"/>
    <x v="266"/>
    <x v="2"/>
    <x v="277"/>
    <x v="1"/>
    <n v="10"/>
    <x v="0"/>
    <s v="No"/>
    <x v="1"/>
    <s v="Yes"/>
    <n v="20"/>
    <n v="10"/>
    <n v="20"/>
  </r>
  <r>
    <n v="3510"/>
    <x v="267"/>
    <x v="1"/>
    <x v="278"/>
    <x v="0"/>
    <n v="5"/>
    <x v="2"/>
    <s v="No"/>
    <x v="1"/>
    <s v="No"/>
    <n v="0"/>
    <n v="0"/>
    <n v="5"/>
  </r>
  <r>
    <n v="3511"/>
    <x v="268"/>
    <x v="0"/>
    <x v="279"/>
    <x v="1"/>
    <n v="15"/>
    <x v="0"/>
    <s v="Yes"/>
    <x v="0"/>
    <s v="Yes"/>
    <n v="20"/>
    <n v="15"/>
    <n v="50"/>
  </r>
  <r>
    <n v="3512"/>
    <x v="269"/>
    <x v="2"/>
    <x v="280"/>
    <x v="0"/>
    <n v="10"/>
    <x v="1"/>
    <s v="No"/>
    <x v="1"/>
    <s v="Yes"/>
    <n v="20"/>
    <n v="15"/>
    <n v="15"/>
  </r>
  <r>
    <n v="3513"/>
    <x v="270"/>
    <x v="1"/>
    <x v="281"/>
    <x v="1"/>
    <n v="5"/>
    <x v="0"/>
    <s v="No"/>
    <x v="1"/>
    <s v="No"/>
    <n v="0"/>
    <n v="1"/>
    <n v="4"/>
  </r>
  <r>
    <n v="3514"/>
    <x v="271"/>
    <x v="0"/>
    <x v="282"/>
    <x v="0"/>
    <n v="15"/>
    <x v="2"/>
    <s v="Yes"/>
    <x v="0"/>
    <s v="Yes"/>
    <n v="20"/>
    <n v="7"/>
    <n v="58"/>
  </r>
  <r>
    <n v="3515"/>
    <x v="130"/>
    <x v="2"/>
    <x v="283"/>
    <x v="1"/>
    <n v="10"/>
    <x v="0"/>
    <s v="No"/>
    <x v="1"/>
    <s v="Yes"/>
    <n v="20"/>
    <n v="10"/>
    <n v="20"/>
  </r>
  <r>
    <n v="3516"/>
    <x v="131"/>
    <x v="1"/>
    <x v="284"/>
    <x v="0"/>
    <n v="5"/>
    <x v="1"/>
    <s v="No"/>
    <x v="1"/>
    <s v="No"/>
    <n v="0"/>
    <n v="0"/>
    <n v="5"/>
  </r>
  <r>
    <n v="3517"/>
    <x v="181"/>
    <x v="0"/>
    <x v="285"/>
    <x v="1"/>
    <n v="15"/>
    <x v="0"/>
    <s v="Yes"/>
    <x v="0"/>
    <s v="Yes"/>
    <n v="20"/>
    <n v="20"/>
    <n v="45"/>
  </r>
  <r>
    <n v="3518"/>
    <x v="272"/>
    <x v="2"/>
    <x v="286"/>
    <x v="0"/>
    <n v="10"/>
    <x v="2"/>
    <s v="No"/>
    <x v="1"/>
    <s v="Yes"/>
    <n v="20"/>
    <n v="12"/>
    <n v="18"/>
  </r>
  <r>
    <n v="3519"/>
    <x v="273"/>
    <x v="1"/>
    <x v="287"/>
    <x v="1"/>
    <n v="5"/>
    <x v="0"/>
    <s v="No"/>
    <x v="1"/>
    <s v="No"/>
    <n v="0"/>
    <n v="2"/>
    <n v="3"/>
  </r>
  <r>
    <n v="3520"/>
    <x v="274"/>
    <x v="0"/>
    <x v="288"/>
    <x v="0"/>
    <n v="15"/>
    <x v="1"/>
    <s v="Yes"/>
    <x v="0"/>
    <s v="Yes"/>
    <n v="20"/>
    <n v="5"/>
    <n v="60"/>
  </r>
  <r>
    <n v="3521"/>
    <x v="275"/>
    <x v="2"/>
    <x v="289"/>
    <x v="1"/>
    <n v="10"/>
    <x v="0"/>
    <s v="No"/>
    <x v="1"/>
    <s v="Yes"/>
    <n v="20"/>
    <n v="10"/>
    <n v="20"/>
  </r>
  <r>
    <n v="3522"/>
    <x v="276"/>
    <x v="1"/>
    <x v="290"/>
    <x v="0"/>
    <n v="5"/>
    <x v="2"/>
    <s v="No"/>
    <x v="1"/>
    <s v="No"/>
    <n v="0"/>
    <n v="0"/>
    <n v="5"/>
  </r>
  <r>
    <n v="3523"/>
    <x v="277"/>
    <x v="0"/>
    <x v="291"/>
    <x v="1"/>
    <n v="15"/>
    <x v="0"/>
    <s v="Yes"/>
    <x v="0"/>
    <s v="Yes"/>
    <n v="20"/>
    <n v="3"/>
    <n v="62"/>
  </r>
  <r>
    <n v="3524"/>
    <x v="278"/>
    <x v="2"/>
    <x v="292"/>
    <x v="0"/>
    <n v="10"/>
    <x v="1"/>
    <s v="No"/>
    <x v="1"/>
    <s v="Yes"/>
    <n v="20"/>
    <n v="15"/>
    <n v="15"/>
  </r>
  <r>
    <n v="3525"/>
    <x v="279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9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9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22">
  <location ref="B52:C6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showAll="0">
      <items count="4">
        <item x="1"/>
        <item x="2"/>
        <item x="0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3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hier="-1"/>
  </pageFields>
  <dataFields count="1">
    <dataField name="Contagem de Auto Renewal" fld="4" subtotal="count" baseField="0" baseItem="0"/>
  </dataFields>
  <chartFormats count="14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7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7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7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7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7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7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14">
  <location ref="B43:C4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  <pivotTable tabId="3" name="Tabela dinâmica1"/>
    <pivotTable tabId="3" name="Tabela dinâmica2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>
    <filterColumn colId="3">
      <filters>
        <dateGroupItem year="2024" month="1" dateTimeGrouping="month"/>
      </filters>
    </filterColumn>
  </autoFilter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I2" sqref="I2:I29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64"/>
  <sheetViews>
    <sheetView showGridLines="0" topLeftCell="A34" workbookViewId="0">
      <selection activeCell="B54" sqref="B53:B64"/>
    </sheetView>
  </sheetViews>
  <sheetFormatPr defaultRowHeight="14.25"/>
  <cols>
    <col min="2" max="2" width="18" customWidth="1"/>
    <col min="3" max="3" width="25.75" customWidth="1"/>
    <col min="4" max="11" width="9.875" customWidth="1"/>
    <col min="12" max="15" width="9.875" bestFit="1" customWidth="1"/>
    <col min="16" max="17" width="9.875" customWidth="1"/>
    <col min="18" max="296" width="9.875" bestFit="1" customWidth="1"/>
    <col min="297" max="297" width="10.75" bestFit="1" customWidth="1"/>
  </cols>
  <sheetData>
    <row r="3" spans="2:6">
      <c r="B3" s="22" t="s">
        <v>317</v>
      </c>
      <c r="C3" s="22"/>
      <c r="D3" s="22"/>
      <c r="E3" s="22"/>
      <c r="F3" s="22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24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217</v>
      </c>
    </row>
    <row r="13" spans="2:6">
      <c r="B13" s="14" t="s">
        <v>19</v>
      </c>
      <c r="C13" s="13">
        <v>1537</v>
      </c>
    </row>
    <row r="14" spans="2:6">
      <c r="B14" s="14" t="s">
        <v>310</v>
      </c>
      <c r="C14" s="13">
        <v>1754</v>
      </c>
    </row>
    <row r="17" spans="2:5">
      <c r="B17" s="14" t="s">
        <v>321</v>
      </c>
    </row>
    <row r="19" spans="2:5">
      <c r="B19" s="12" t="s">
        <v>16</v>
      </c>
      <c r="C19" t="s">
        <v>24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600</v>
      </c>
    </row>
    <row r="25" spans="2:5">
      <c r="B25" s="14" t="s">
        <v>310</v>
      </c>
      <c r="C25" s="15">
        <v>600</v>
      </c>
      <c r="E25" s="17">
        <f>GETPIVOTDATA("EA Play Season Pass
Price",$B$21)</f>
        <v>600</v>
      </c>
    </row>
    <row r="28" spans="2:5">
      <c r="B28" s="14" t="s">
        <v>322</v>
      </c>
    </row>
    <row r="30" spans="2:5">
      <c r="B30" s="12" t="s">
        <v>16</v>
      </c>
      <c r="C30" t="s">
        <v>24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540</v>
      </c>
    </row>
    <row r="35" spans="2:5">
      <c r="B35" s="14" t="s">
        <v>18</v>
      </c>
      <c r="C35" s="13">
        <v>400</v>
      </c>
    </row>
    <row r="36" spans="2:5">
      <c r="B36" s="14" t="s">
        <v>310</v>
      </c>
      <c r="C36" s="13">
        <v>940</v>
      </c>
      <c r="E36" s="17">
        <f>GETPIVOTDATA("Minecraft Season Pass Price",$B$32)</f>
        <v>940</v>
      </c>
    </row>
    <row r="39" spans="2:5">
      <c r="B39" s="14" t="s">
        <v>324</v>
      </c>
    </row>
    <row r="41" spans="2:5">
      <c r="B41" s="12" t="s">
        <v>16</v>
      </c>
      <c r="C41" t="s">
        <v>24</v>
      </c>
    </row>
    <row r="43" spans="2:5">
      <c r="B43" s="12" t="s">
        <v>309</v>
      </c>
      <c r="C43" t="s">
        <v>319</v>
      </c>
    </row>
    <row r="44" spans="2:5">
      <c r="B44" s="14" t="s">
        <v>22</v>
      </c>
      <c r="C44" s="15">
        <v>120</v>
      </c>
    </row>
    <row r="45" spans="2:5">
      <c r="B45" s="14" t="s">
        <v>26</v>
      </c>
      <c r="C45" s="15">
        <v>448</v>
      </c>
    </row>
    <row r="46" spans="2:5">
      <c r="B46" s="14" t="s">
        <v>18</v>
      </c>
      <c r="C46" s="15">
        <v>1186</v>
      </c>
    </row>
    <row r="47" spans="2:5">
      <c r="B47" s="14" t="s">
        <v>310</v>
      </c>
      <c r="C47" s="15">
        <v>1754</v>
      </c>
    </row>
    <row r="49" spans="2:3">
      <c r="B49" t="s">
        <v>325</v>
      </c>
    </row>
    <row r="50" spans="2:3">
      <c r="B50" s="12" t="s">
        <v>13</v>
      </c>
      <c r="C50" t="s">
        <v>326</v>
      </c>
    </row>
    <row r="52" spans="2:3">
      <c r="B52" s="12" t="s">
        <v>309</v>
      </c>
      <c r="C52" t="s">
        <v>327</v>
      </c>
    </row>
    <row r="53" spans="2:3">
      <c r="B53" s="21" t="s">
        <v>328</v>
      </c>
      <c r="C53" s="15">
        <v>1</v>
      </c>
    </row>
    <row r="54" spans="2:3">
      <c r="B54" s="21" t="s">
        <v>329</v>
      </c>
      <c r="C54" s="15">
        <v>7</v>
      </c>
    </row>
    <row r="55" spans="2:3">
      <c r="B55" s="21" t="s">
        <v>330</v>
      </c>
      <c r="C55" s="15">
        <v>7</v>
      </c>
    </row>
    <row r="56" spans="2:3">
      <c r="B56" s="21" t="s">
        <v>331</v>
      </c>
      <c r="C56" s="15">
        <v>8</v>
      </c>
    </row>
    <row r="57" spans="2:3">
      <c r="B57" s="21" t="s">
        <v>332</v>
      </c>
      <c r="C57" s="15">
        <v>7</v>
      </c>
    </row>
    <row r="58" spans="2:3">
      <c r="B58" s="21" t="s">
        <v>333</v>
      </c>
      <c r="C58" s="15">
        <v>7</v>
      </c>
    </row>
    <row r="59" spans="2:3">
      <c r="B59" s="21" t="s">
        <v>334</v>
      </c>
      <c r="C59" s="15">
        <v>8</v>
      </c>
    </row>
    <row r="60" spans="2:3">
      <c r="B60" s="21" t="s">
        <v>335</v>
      </c>
      <c r="C60" s="15">
        <v>7</v>
      </c>
    </row>
    <row r="61" spans="2:3">
      <c r="B61" s="21" t="s">
        <v>336</v>
      </c>
      <c r="C61" s="15">
        <v>8</v>
      </c>
    </row>
    <row r="62" spans="2:3">
      <c r="B62" s="21" t="s">
        <v>337</v>
      </c>
      <c r="C62" s="15">
        <v>7</v>
      </c>
    </row>
    <row r="63" spans="2:3">
      <c r="B63" s="21" t="s">
        <v>338</v>
      </c>
      <c r="C63" s="15">
        <v>4</v>
      </c>
    </row>
    <row r="64" spans="2:3">
      <c r="B64" s="21" t="s">
        <v>310</v>
      </c>
      <c r="C64" s="15">
        <v>71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pageSetup paperSize="9"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36"/>
  <sheetViews>
    <sheetView showGridLines="0" showRowColHeaders="0" tabSelected="1" zoomScaleNormal="100" workbookViewId="0">
      <selection activeCell="U11" sqref="U11"/>
    </sheetView>
  </sheetViews>
  <sheetFormatPr defaultRowHeight="14.25"/>
  <cols>
    <col min="1" max="1" width="27.375" style="4" customWidth="1"/>
    <col min="2" max="2" width="3.625" customWidth="1"/>
    <col min="12" max="12" width="38.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2" s="7" customFormat="1">
      <c r="A17" s="4"/>
      <c r="L17" s="20"/>
    </row>
    <row r="18" spans="1:12" s="7" customFormat="1">
      <c r="A18" s="4"/>
    </row>
    <row r="19" spans="1:12" s="7" customFormat="1">
      <c r="A19" s="4"/>
    </row>
    <row r="20" spans="1:12" s="7" customFormat="1">
      <c r="A20" s="4"/>
    </row>
    <row r="21" spans="1:12" s="7" customFormat="1">
      <c r="A21" s="4"/>
    </row>
    <row r="22" spans="1:12" s="7" customFormat="1">
      <c r="A22" s="4"/>
    </row>
    <row r="23" spans="1:12" s="7" customFormat="1">
      <c r="A23" s="4"/>
    </row>
    <row r="24" spans="1:12" s="7" customFormat="1">
      <c r="A24" s="4"/>
    </row>
    <row r="25" spans="1:12" s="7" customFormat="1">
      <c r="A25" s="4"/>
    </row>
    <row r="26" spans="1:12" s="7" customFormat="1">
      <c r="A26" s="4"/>
    </row>
    <row r="27" spans="1:12" s="7" customFormat="1">
      <c r="A27" s="4"/>
    </row>
    <row r="28" spans="1:12" s="7" customFormat="1">
      <c r="A28" s="4"/>
    </row>
    <row r="29" spans="1:12" s="7" customFormat="1">
      <c r="A29" s="4"/>
    </row>
    <row r="30" spans="1:12" s="7" customFormat="1">
      <c r="A30" s="4"/>
    </row>
    <row r="31" spans="1:12" s="7" customFormat="1">
      <c r="A31" s="4"/>
    </row>
    <row r="32" spans="1:12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purl.org/dc/dcmitype/"/>
    <ds:schemaRef ds:uri="http://www.w3.org/XML/1998/namespace"/>
    <ds:schemaRef ds:uri="851b35d3-0456-4d6a-bc2f-da927e91d158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19483571-f922-4e8e-9c1c-26f0a225213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Rubens Guilardi Junior</cp:lastModifiedBy>
  <dcterms:created xsi:type="dcterms:W3CDTF">2024-12-19T13:13:10Z</dcterms:created>
  <dcterms:modified xsi:type="dcterms:W3CDTF">2026-04-09T23:17:52Z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